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uecher/Desktop/"/>
    </mc:Choice>
  </mc:AlternateContent>
  <xr:revisionPtr revIDLastSave="0" documentId="13_ncr:1_{0FAD35E6-00C5-8C44-A2A2-09B362B61981}" xr6:coauthVersionLast="45" xr6:coauthVersionMax="45" xr10:uidLastSave="{00000000-0000-0000-0000-000000000000}"/>
  <bookViews>
    <workbookView xWindow="1860" yWindow="1060" windowWidth="34940" windowHeight="17400" xr2:uid="{6B39CC94-A799-B548-A569-2765631003B5}"/>
  </bookViews>
  <sheets>
    <sheet name="rain2" sheetId="3" r:id="rId1"/>
    <sheet name="beta strengt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3" l="1"/>
  <c r="I19" i="3"/>
  <c r="I20" i="3"/>
  <c r="I18" i="3"/>
  <c r="I17" i="3"/>
  <c r="I48" i="3" s="1"/>
  <c r="I16" i="3"/>
  <c r="I15" i="3"/>
  <c r="I14" i="3"/>
  <c r="I13" i="3"/>
  <c r="I12" i="3"/>
  <c r="I11" i="3"/>
  <c r="L39" i="3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G35" i="4"/>
  <c r="G33" i="4"/>
  <c r="C20" i="4"/>
  <c r="C17" i="4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K2" i="3"/>
  <c r="J2" i="3"/>
  <c r="N45" i="3"/>
  <c r="L45" i="3"/>
  <c r="J45" i="3"/>
  <c r="N44" i="3"/>
  <c r="L44" i="3"/>
  <c r="J44" i="3"/>
  <c r="N43" i="3"/>
  <c r="L43" i="3"/>
  <c r="J43" i="3"/>
  <c r="N42" i="3"/>
  <c r="L42" i="3"/>
  <c r="J42" i="3"/>
  <c r="N41" i="3"/>
  <c r="L41" i="3"/>
  <c r="J41" i="3"/>
  <c r="N40" i="3"/>
  <c r="L40" i="3"/>
  <c r="J40" i="3"/>
  <c r="N39" i="3"/>
  <c r="N38" i="3"/>
  <c r="L38" i="3"/>
  <c r="J38" i="3"/>
  <c r="N37" i="3"/>
  <c r="L37" i="3"/>
  <c r="J37" i="3"/>
  <c r="N36" i="3"/>
  <c r="L36" i="3"/>
  <c r="J36" i="3"/>
  <c r="N35" i="3"/>
  <c r="L35" i="3"/>
  <c r="J35" i="3"/>
  <c r="N34" i="3"/>
  <c r="L34" i="3"/>
  <c r="J34" i="3"/>
  <c r="N33" i="3"/>
  <c r="L33" i="3"/>
  <c r="J33" i="3"/>
  <c r="N32" i="3"/>
  <c r="L32" i="3"/>
  <c r="J32" i="3"/>
  <c r="N31" i="3"/>
  <c r="L31" i="3"/>
  <c r="J31" i="3"/>
  <c r="N30" i="3"/>
  <c r="L30" i="3"/>
  <c r="J30" i="3"/>
  <c r="N29" i="3"/>
  <c r="L29" i="3"/>
  <c r="J29" i="3"/>
  <c r="N28" i="3"/>
  <c r="L28" i="3"/>
  <c r="J28" i="3"/>
  <c r="N27" i="3"/>
  <c r="L27" i="3"/>
  <c r="J27" i="3"/>
  <c r="N26" i="3"/>
  <c r="L26" i="3"/>
  <c r="J26" i="3"/>
  <c r="N25" i="3"/>
  <c r="L25" i="3"/>
  <c r="J25" i="3"/>
  <c r="N24" i="3"/>
  <c r="L24" i="3"/>
  <c r="J24" i="3"/>
  <c r="N23" i="3"/>
  <c r="L23" i="3"/>
  <c r="J23" i="3"/>
  <c r="N22" i="3"/>
  <c r="L22" i="3"/>
  <c r="J22" i="3"/>
  <c r="N21" i="3"/>
  <c r="L21" i="3"/>
  <c r="J21" i="3"/>
  <c r="G23" i="4"/>
  <c r="G7" i="4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J39" i="3" l="1"/>
  <c r="C38" i="3"/>
  <c r="D38" i="3" l="1"/>
</calcChain>
</file>

<file path=xl/sharedStrings.xml><?xml version="1.0" encoding="utf-8"?>
<sst xmlns="http://schemas.openxmlformats.org/spreadsheetml/2006/main" count="70" uniqueCount="37">
  <si>
    <t>bin</t>
  </si>
  <si>
    <t>Ex</t>
  </si>
  <si>
    <t>Popul.</t>
  </si>
  <si>
    <t>0-</t>
  </si>
  <si>
    <t>0+</t>
  </si>
  <si>
    <t>1-</t>
  </si>
  <si>
    <t>1+</t>
  </si>
  <si>
    <t>2-</t>
  </si>
  <si>
    <t>2+</t>
  </si>
  <si>
    <t>3-</t>
  </si>
  <si>
    <t>3+</t>
  </si>
  <si>
    <t>4-</t>
  </si>
  <si>
    <t>4+</t>
  </si>
  <si>
    <t>5-</t>
  </si>
  <si>
    <t>5+</t>
  </si>
  <si>
    <t>6-</t>
  </si>
  <si>
    <t>6+</t>
  </si>
  <si>
    <t>7-</t>
  </si>
  <si>
    <t>7+</t>
  </si>
  <si>
    <t>8-</t>
  </si>
  <si>
    <t>8+</t>
  </si>
  <si>
    <t>9-</t>
  </si>
  <si>
    <t>9+</t>
  </si>
  <si>
    <t>spin</t>
  </si>
  <si>
    <t>%</t>
  </si>
  <si>
    <t>unknown spin</t>
  </si>
  <si>
    <t>spin uncertain</t>
  </si>
  <si>
    <t xml:space="preserve">statistical from here on using 88Kr results from </t>
  </si>
  <si>
    <t xml:space="preserve">binning </t>
  </si>
  <si>
    <t xml:space="preserve">first bin </t>
  </si>
  <si>
    <t>energy low</t>
  </si>
  <si>
    <t>beta prob</t>
  </si>
  <si>
    <t>SUM Discrete</t>
  </si>
  <si>
    <t>SUM Statistical</t>
  </si>
  <si>
    <t>SUM</t>
  </si>
  <si>
    <t>Ratio</t>
  </si>
  <si>
    <t>beta prob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</si>
</sst>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2"/>
      <color theme="1"/>
      <name val="Calibri"/>
      <family val="2"/>
      <scheme val="minor"/>
    </font>
    <font>
      <sz val="14"/>
      <color rgb="FF000000"/>
      <name val="Menlo"/>
      <family val="2"/>
    </font>
    <font>
      <sz val="12"/>
      <color theme="1"/>
      <name val="Calibri"/>
      <family val="2"/>
      <scheme val="minor"/>
    </font>
    <font>
      <sz val="11"/>
      <color theme="1"/>
      <name val="Menlo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1" fontId="1" fillId="0" borderId="0" xfId="0" applyNumberFormat="1" applyFont="1"/>
    <xf numFmtId="0" fontId="0" fillId="0" borderId="0" xfId="0" applyFont="1"/>
    <xf numFmtId="164" fontId="0" fillId="0" borderId="0" xfId="0" applyNumberFormat="1" applyFont="1"/>
    <xf numFmtId="0" fontId="3" fillId="0" borderId="0" xfId="0" applyFont="1"/>
    <xf numFmtId="9" fontId="0" fillId="0" borderId="0" xfId="1" applyFont="1"/>
    <xf numFmtId="164" fontId="3" fillId="0" borderId="0" xfId="0" applyNumberFormat="1" applyFont="1"/>
    <xf numFmtId="0" fontId="4" fillId="0" borderId="0" xfId="0" applyFont="1"/>
    <xf numFmtId="165" fontId="0" fillId="0" borderId="0" xfId="0" applyNumberFormat="1"/>
    <xf numFmtId="0" fontId="0" fillId="2" borderId="0" xfId="0" applyFill="1"/>
    <xf numFmtId="0" fontId="5" fillId="0" borderId="0" xfId="0" applyFont="1"/>
    <xf numFmtId="165" fontId="5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'beta strength'!$F$7:$F$31</c:f>
              <c:numCache>
                <c:formatCode>General</c:formatCode>
                <c:ptCount val="25"/>
                <c:pt idx="0">
                  <c:v>2.4</c:v>
                </c:pt>
                <c:pt idx="1">
                  <c:v>2.6</c:v>
                </c:pt>
                <c:pt idx="2">
                  <c:v>2.8</c:v>
                </c:pt>
                <c:pt idx="3">
                  <c:v>3</c:v>
                </c:pt>
                <c:pt idx="4">
                  <c:v>3.2</c:v>
                </c:pt>
                <c:pt idx="5">
                  <c:v>3.4</c:v>
                </c:pt>
                <c:pt idx="6">
                  <c:v>3.6</c:v>
                </c:pt>
                <c:pt idx="7">
                  <c:v>3.8</c:v>
                </c:pt>
                <c:pt idx="8">
                  <c:v>4</c:v>
                </c:pt>
                <c:pt idx="9">
                  <c:v>4.2</c:v>
                </c:pt>
                <c:pt idx="10">
                  <c:v>4.4000000000000004</c:v>
                </c:pt>
                <c:pt idx="11">
                  <c:v>4.5999999999999996</c:v>
                </c:pt>
                <c:pt idx="12">
                  <c:v>4.8000000000000007</c:v>
                </c:pt>
                <c:pt idx="13">
                  <c:v>5</c:v>
                </c:pt>
                <c:pt idx="14">
                  <c:v>5.2</c:v>
                </c:pt>
                <c:pt idx="15">
                  <c:v>5.4</c:v>
                </c:pt>
                <c:pt idx="16">
                  <c:v>5.6</c:v>
                </c:pt>
                <c:pt idx="17">
                  <c:v>5.8000000000000007</c:v>
                </c:pt>
                <c:pt idx="18">
                  <c:v>6</c:v>
                </c:pt>
                <c:pt idx="19">
                  <c:v>6.2</c:v>
                </c:pt>
                <c:pt idx="20">
                  <c:v>6.4</c:v>
                </c:pt>
                <c:pt idx="21">
                  <c:v>6.6</c:v>
                </c:pt>
                <c:pt idx="22">
                  <c:v>6.8000000000000007</c:v>
                </c:pt>
                <c:pt idx="23">
                  <c:v>7</c:v>
                </c:pt>
                <c:pt idx="24">
                  <c:v>7.2000000000000011</c:v>
                </c:pt>
              </c:numCache>
            </c:numRef>
          </c:xVal>
          <c:yVal>
            <c:numRef>
              <c:f>'beta strength'!$G$7:$G$31</c:f>
              <c:numCache>
                <c:formatCode>General</c:formatCode>
                <c:ptCount val="25"/>
                <c:pt idx="0">
                  <c:v>5.5160999999999995E-3</c:v>
                </c:pt>
                <c:pt idx="1">
                  <c:v>4.9784102564102567E-2</c:v>
                </c:pt>
                <c:pt idx="2">
                  <c:v>0.40016785714285702</c:v>
                </c:pt>
                <c:pt idx="3">
                  <c:v>0.21029545454545454</c:v>
                </c:pt>
                <c:pt idx="4">
                  <c:v>8.0467692307692296E-2</c:v>
                </c:pt>
                <c:pt idx="5">
                  <c:v>2.3210800000000004E-2</c:v>
                </c:pt>
                <c:pt idx="6">
                  <c:v>1.5474545454545456E-2</c:v>
                </c:pt>
                <c:pt idx="7">
                  <c:v>1.1062600000000001E-2</c:v>
                </c:pt>
                <c:pt idx="8">
                  <c:v>2.5143181818181825E-2</c:v>
                </c:pt>
                <c:pt idx="9">
                  <c:v>9.1821666666666676E-2</c:v>
                </c:pt>
                <c:pt idx="10">
                  <c:v>0.66524571428571433</c:v>
                </c:pt>
                <c:pt idx="11">
                  <c:v>2.1584444444444446</c:v>
                </c:pt>
                <c:pt idx="12">
                  <c:v>2.0447142857142859</c:v>
                </c:pt>
                <c:pt idx="13">
                  <c:v>1.4466000000000001</c:v>
                </c:pt>
                <c:pt idx="14">
                  <c:v>0.74694000000000005</c:v>
                </c:pt>
                <c:pt idx="15">
                  <c:v>1.0867333333333333</c:v>
                </c:pt>
                <c:pt idx="16">
                  <c:v>1.0567416666666667</c:v>
                </c:pt>
                <c:pt idx="17">
                  <c:v>0.96220909090909101</c:v>
                </c:pt>
                <c:pt idx="18">
                  <c:v>1.5456666666666665</c:v>
                </c:pt>
                <c:pt idx="19">
                  <c:v>1.191488888888889</c:v>
                </c:pt>
                <c:pt idx="20">
                  <c:v>1.0205666666666666</c:v>
                </c:pt>
                <c:pt idx="21">
                  <c:v>1.304142857142857</c:v>
                </c:pt>
                <c:pt idx="22">
                  <c:v>1.0436866666666667</c:v>
                </c:pt>
                <c:pt idx="23">
                  <c:v>0.37792105263157899</c:v>
                </c:pt>
                <c:pt idx="24">
                  <c:v>0.14481153846153844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DF-4A4C-BDE4-4B79AF9C5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34016"/>
        <c:axId val="2142320223"/>
      </c:scatterChart>
      <c:valAx>
        <c:axId val="4453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20223"/>
        <c:crosses val="autoZero"/>
        <c:crossBetween val="midCat"/>
      </c:valAx>
      <c:valAx>
        <c:axId val="214232022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9</xdr:row>
      <xdr:rowOff>120650</xdr:rowOff>
    </xdr:from>
    <xdr:to>
      <xdr:col>22</xdr:col>
      <xdr:colOff>203200</xdr:colOff>
      <xdr:row>39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C314C5-1129-0B44-9372-985B4EC50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292100</xdr:colOff>
      <xdr:row>13</xdr:row>
      <xdr:rowOff>165100</xdr:rowOff>
    </xdr:from>
    <xdr:to>
      <xdr:col>22</xdr:col>
      <xdr:colOff>571500</xdr:colOff>
      <xdr:row>39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01DEE6-1EA9-3749-AD90-769C8F662B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0549" t="13755" r="7854" b="20873"/>
        <a:stretch/>
      </xdr:blipFill>
      <xdr:spPr>
        <a:xfrm>
          <a:off x="12103100" y="2806700"/>
          <a:ext cx="7708900" cy="513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8322-5E42-854A-822D-756B64B9722B}">
  <dimension ref="B1:AC48"/>
  <sheetViews>
    <sheetView tabSelected="1" topLeftCell="C5" zoomScale="114" workbookViewId="0">
      <selection activeCell="I2" sqref="I2"/>
    </sheetView>
  </sheetViews>
  <sheetFormatPr baseColWidth="10" defaultRowHeight="16" x14ac:dyDescent="0.2"/>
  <cols>
    <col min="2" max="2" width="10.83203125" style="4"/>
    <col min="5" max="5" width="30.1640625" customWidth="1"/>
    <col min="6" max="6" width="8.33203125" customWidth="1"/>
    <col min="8" max="8" width="10.83203125" style="4"/>
    <col min="9" max="9" width="10.83203125" style="10"/>
  </cols>
  <sheetData>
    <row r="1" spans="2:29" ht="18" x14ac:dyDescent="0.2">
      <c r="B1" s="4" t="s">
        <v>1</v>
      </c>
      <c r="C1" t="s">
        <v>2</v>
      </c>
      <c r="D1" t="s">
        <v>24</v>
      </c>
      <c r="F1" t="s">
        <v>23</v>
      </c>
      <c r="G1" s="1" t="s">
        <v>0</v>
      </c>
      <c r="H1" s="4" t="s">
        <v>1</v>
      </c>
      <c r="I1" s="10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</row>
    <row r="2" spans="2:29" ht="18" x14ac:dyDescent="0.2">
      <c r="B2" s="5"/>
      <c r="C2" s="2"/>
      <c r="D2" s="7"/>
      <c r="F2" t="s">
        <v>4</v>
      </c>
      <c r="G2" s="3">
        <v>0</v>
      </c>
      <c r="H2" s="5">
        <v>0</v>
      </c>
      <c r="I2" s="10">
        <v>4.7169999999999996</v>
      </c>
      <c r="J2" s="2">
        <f>IF(EXACT($F2,J$1),$I2,0)</f>
        <v>0</v>
      </c>
      <c r="K2" s="2">
        <f t="shared" ref="K2:Z17" si="0">IF(EXACT($F2,K$1),$I2,0)</f>
        <v>4.7169999999999996</v>
      </c>
      <c r="L2" s="2">
        <f t="shared" si="0"/>
        <v>0</v>
      </c>
      <c r="M2" s="2">
        <f t="shared" si="0"/>
        <v>0</v>
      </c>
      <c r="N2" s="2">
        <f t="shared" si="0"/>
        <v>0</v>
      </c>
      <c r="O2" s="2">
        <f t="shared" si="0"/>
        <v>0</v>
      </c>
      <c r="P2" s="2">
        <f t="shared" si="0"/>
        <v>0</v>
      </c>
      <c r="Q2" s="2">
        <f t="shared" si="0"/>
        <v>0</v>
      </c>
      <c r="R2" s="2">
        <f t="shared" si="0"/>
        <v>0</v>
      </c>
      <c r="S2" s="2">
        <f t="shared" si="0"/>
        <v>0</v>
      </c>
      <c r="T2" s="2">
        <f t="shared" si="0"/>
        <v>0</v>
      </c>
      <c r="U2" s="2">
        <f t="shared" si="0"/>
        <v>0</v>
      </c>
      <c r="V2" s="2">
        <f t="shared" si="0"/>
        <v>0</v>
      </c>
      <c r="W2" s="2">
        <f t="shared" si="0"/>
        <v>0</v>
      </c>
      <c r="X2" s="2">
        <f t="shared" si="0"/>
        <v>0</v>
      </c>
      <c r="Y2" s="2">
        <f t="shared" si="0"/>
        <v>0</v>
      </c>
      <c r="Z2" s="2">
        <f t="shared" si="0"/>
        <v>0</v>
      </c>
      <c r="AA2" s="2">
        <f t="shared" ref="AA2:AC20" si="1">IF(EXACT($F2,AA$1),$I2,0)</f>
        <v>0</v>
      </c>
      <c r="AB2" s="2">
        <f t="shared" si="1"/>
        <v>0</v>
      </c>
      <c r="AC2" s="2">
        <f t="shared" si="1"/>
        <v>0</v>
      </c>
    </row>
    <row r="3" spans="2:29" ht="18" x14ac:dyDescent="0.2">
      <c r="B3" s="6"/>
      <c r="C3" s="2"/>
      <c r="D3" s="7"/>
      <c r="F3" t="s">
        <v>8</v>
      </c>
      <c r="G3" s="3">
        <v>1</v>
      </c>
      <c r="H3" s="8">
        <v>0.77500000000000002</v>
      </c>
      <c r="I3" s="10">
        <v>5.5590000000000002</v>
      </c>
      <c r="J3" s="2">
        <f t="shared" ref="J3:Y18" si="2">IF(EXACT($F3,J$1),$I3,0)</f>
        <v>0</v>
      </c>
      <c r="K3" s="2">
        <f t="shared" si="0"/>
        <v>0</v>
      </c>
      <c r="L3" s="2">
        <f t="shared" si="0"/>
        <v>0</v>
      </c>
      <c r="M3" s="2">
        <f t="shared" si="0"/>
        <v>0</v>
      </c>
      <c r="N3" s="2">
        <f t="shared" si="0"/>
        <v>0</v>
      </c>
      <c r="O3" s="2">
        <f t="shared" si="0"/>
        <v>5.5590000000000002</v>
      </c>
      <c r="P3" s="2">
        <f t="shared" si="0"/>
        <v>0</v>
      </c>
      <c r="Q3" s="2">
        <f t="shared" si="0"/>
        <v>0</v>
      </c>
      <c r="R3" s="2">
        <f t="shared" si="0"/>
        <v>0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2">
        <f t="shared" si="0"/>
        <v>0</v>
      </c>
      <c r="W3" s="2">
        <f t="shared" si="0"/>
        <v>0</v>
      </c>
      <c r="X3" s="2">
        <f t="shared" si="0"/>
        <v>0</v>
      </c>
      <c r="Y3" s="2">
        <f t="shared" si="0"/>
        <v>0</v>
      </c>
      <c r="Z3" s="2">
        <f t="shared" si="0"/>
        <v>0</v>
      </c>
      <c r="AA3" s="2">
        <f t="shared" si="1"/>
        <v>0</v>
      </c>
      <c r="AB3" s="2">
        <f t="shared" si="1"/>
        <v>0</v>
      </c>
      <c r="AC3" s="2">
        <f t="shared" si="1"/>
        <v>0</v>
      </c>
    </row>
    <row r="4" spans="2:29" ht="18" x14ac:dyDescent="0.2">
      <c r="B4" s="6"/>
      <c r="C4" s="2"/>
      <c r="D4" s="7"/>
      <c r="F4" t="s">
        <v>8</v>
      </c>
      <c r="G4" s="3">
        <v>2</v>
      </c>
      <c r="H4" s="8">
        <v>1.577</v>
      </c>
      <c r="I4" s="10">
        <v>0.90100000000000002</v>
      </c>
      <c r="J4" s="2">
        <f t="shared" si="2"/>
        <v>0</v>
      </c>
      <c r="K4" s="2">
        <f t="shared" si="0"/>
        <v>0</v>
      </c>
      <c r="L4" s="2">
        <f t="shared" si="0"/>
        <v>0</v>
      </c>
      <c r="M4" s="2">
        <f t="shared" si="0"/>
        <v>0</v>
      </c>
      <c r="N4" s="2">
        <f t="shared" si="0"/>
        <v>0</v>
      </c>
      <c r="O4" s="2">
        <f t="shared" si="0"/>
        <v>0.90100000000000002</v>
      </c>
      <c r="P4" s="2">
        <f t="shared" si="0"/>
        <v>0</v>
      </c>
      <c r="Q4" s="2">
        <f t="shared" si="0"/>
        <v>0</v>
      </c>
      <c r="R4" s="2">
        <f t="shared" si="0"/>
        <v>0</v>
      </c>
      <c r="S4" s="2">
        <f t="shared" si="0"/>
        <v>0</v>
      </c>
      <c r="T4" s="2">
        <f t="shared" si="0"/>
        <v>0</v>
      </c>
      <c r="U4" s="2">
        <f t="shared" si="0"/>
        <v>0</v>
      </c>
      <c r="V4" s="2">
        <f t="shared" si="0"/>
        <v>0</v>
      </c>
      <c r="W4" s="2">
        <f t="shared" si="0"/>
        <v>0</v>
      </c>
      <c r="X4" s="2">
        <f t="shared" si="0"/>
        <v>0</v>
      </c>
      <c r="Y4" s="2">
        <f t="shared" si="0"/>
        <v>0</v>
      </c>
      <c r="Z4" s="2">
        <f t="shared" si="0"/>
        <v>0</v>
      </c>
      <c r="AA4" s="2">
        <f t="shared" si="1"/>
        <v>0</v>
      </c>
      <c r="AB4" s="2">
        <f t="shared" si="1"/>
        <v>0</v>
      </c>
      <c r="AC4" s="2">
        <f t="shared" si="1"/>
        <v>0</v>
      </c>
    </row>
    <row r="5" spans="2:29" ht="18" x14ac:dyDescent="0.2">
      <c r="B5" s="6"/>
      <c r="C5" s="2"/>
      <c r="D5" s="7"/>
      <c r="F5" t="s">
        <v>12</v>
      </c>
      <c r="G5" s="3">
        <v>3</v>
      </c>
      <c r="H5" s="8">
        <v>1.6439999999999999</v>
      </c>
      <c r="I5" s="10">
        <v>0.443</v>
      </c>
      <c r="J5" s="2">
        <f t="shared" si="2"/>
        <v>0</v>
      </c>
      <c r="K5" s="2">
        <f t="shared" si="0"/>
        <v>0</v>
      </c>
      <c r="L5" s="2">
        <f t="shared" si="0"/>
        <v>0</v>
      </c>
      <c r="M5" s="2">
        <f t="shared" si="0"/>
        <v>0</v>
      </c>
      <c r="N5" s="2">
        <f t="shared" si="0"/>
        <v>0</v>
      </c>
      <c r="O5" s="2">
        <f t="shared" si="0"/>
        <v>0</v>
      </c>
      <c r="P5" s="2">
        <f t="shared" si="0"/>
        <v>0</v>
      </c>
      <c r="Q5" s="2">
        <f t="shared" si="0"/>
        <v>0</v>
      </c>
      <c r="R5" s="2">
        <f t="shared" si="0"/>
        <v>0</v>
      </c>
      <c r="S5" s="2">
        <f t="shared" si="0"/>
        <v>0.443</v>
      </c>
      <c r="T5" s="2">
        <f t="shared" si="0"/>
        <v>0</v>
      </c>
      <c r="U5" s="2">
        <f t="shared" si="0"/>
        <v>0</v>
      </c>
      <c r="V5" s="2">
        <f t="shared" si="0"/>
        <v>0</v>
      </c>
      <c r="W5" s="2">
        <f t="shared" si="0"/>
        <v>0</v>
      </c>
      <c r="X5" s="2">
        <f t="shared" si="0"/>
        <v>0</v>
      </c>
      <c r="Y5" s="2">
        <f t="shared" si="0"/>
        <v>0</v>
      </c>
      <c r="Z5" s="2">
        <f t="shared" si="0"/>
        <v>0</v>
      </c>
      <c r="AA5" s="2">
        <f t="shared" si="1"/>
        <v>0</v>
      </c>
      <c r="AB5" s="2">
        <f t="shared" si="1"/>
        <v>0</v>
      </c>
      <c r="AC5" s="2">
        <f t="shared" si="1"/>
        <v>0</v>
      </c>
    </row>
    <row r="6" spans="2:29" ht="18" x14ac:dyDescent="0.2">
      <c r="B6" s="6"/>
      <c r="C6" s="2"/>
      <c r="D6" s="7"/>
      <c r="E6" t="s">
        <v>26</v>
      </c>
      <c r="F6" t="s">
        <v>12</v>
      </c>
      <c r="G6" s="3">
        <v>4</v>
      </c>
      <c r="H6" s="8">
        <v>2.1040000000000001</v>
      </c>
      <c r="I6" s="10">
        <v>3.5000000000000003E-2</v>
      </c>
      <c r="J6" s="2">
        <f t="shared" si="2"/>
        <v>0</v>
      </c>
      <c r="K6" s="2">
        <f t="shared" si="0"/>
        <v>0</v>
      </c>
      <c r="L6" s="2">
        <f t="shared" si="0"/>
        <v>0</v>
      </c>
      <c r="M6" s="2">
        <f t="shared" si="0"/>
        <v>0</v>
      </c>
      <c r="N6" s="2">
        <f t="shared" si="0"/>
        <v>0</v>
      </c>
      <c r="O6" s="2">
        <f t="shared" si="0"/>
        <v>0</v>
      </c>
      <c r="P6" s="2">
        <f t="shared" si="0"/>
        <v>0</v>
      </c>
      <c r="Q6" s="2">
        <f t="shared" si="0"/>
        <v>0</v>
      </c>
      <c r="R6" s="2">
        <f t="shared" si="0"/>
        <v>0</v>
      </c>
      <c r="S6" s="2">
        <f t="shared" si="0"/>
        <v>3.5000000000000003E-2</v>
      </c>
      <c r="T6" s="2">
        <f t="shared" si="0"/>
        <v>0</v>
      </c>
      <c r="U6" s="2">
        <f t="shared" si="0"/>
        <v>0</v>
      </c>
      <c r="V6" s="2">
        <f t="shared" si="0"/>
        <v>0</v>
      </c>
      <c r="W6" s="2">
        <f t="shared" si="0"/>
        <v>0</v>
      </c>
      <c r="X6" s="2">
        <f t="shared" si="0"/>
        <v>0</v>
      </c>
      <c r="Y6" s="2">
        <f t="shared" si="0"/>
        <v>0</v>
      </c>
      <c r="Z6" s="2">
        <f t="shared" si="0"/>
        <v>0</v>
      </c>
      <c r="AA6" s="2">
        <f t="shared" si="1"/>
        <v>0</v>
      </c>
      <c r="AB6" s="2">
        <f t="shared" si="1"/>
        <v>0</v>
      </c>
      <c r="AC6" s="2">
        <f t="shared" si="1"/>
        <v>0</v>
      </c>
    </row>
    <row r="7" spans="2:29" ht="18" x14ac:dyDescent="0.2">
      <c r="B7" s="6"/>
      <c r="C7" s="2"/>
      <c r="D7" s="7"/>
      <c r="F7" t="s">
        <v>8</v>
      </c>
      <c r="G7" s="3">
        <v>5</v>
      </c>
      <c r="H7" s="8">
        <v>2.2160000000000002</v>
      </c>
      <c r="I7" s="10">
        <v>5.7000000000000002E-2</v>
      </c>
      <c r="J7" s="2">
        <f t="shared" si="2"/>
        <v>0</v>
      </c>
      <c r="K7" s="2">
        <f t="shared" si="0"/>
        <v>0</v>
      </c>
      <c r="L7" s="2">
        <f t="shared" si="0"/>
        <v>0</v>
      </c>
      <c r="M7" s="2">
        <f t="shared" si="0"/>
        <v>0</v>
      </c>
      <c r="N7" s="2">
        <f t="shared" si="0"/>
        <v>0</v>
      </c>
      <c r="O7" s="2">
        <f t="shared" si="0"/>
        <v>5.7000000000000002E-2</v>
      </c>
      <c r="P7" s="2">
        <f t="shared" si="0"/>
        <v>0</v>
      </c>
      <c r="Q7" s="2">
        <f t="shared" si="0"/>
        <v>0</v>
      </c>
      <c r="R7" s="2">
        <f t="shared" si="0"/>
        <v>0</v>
      </c>
      <c r="S7" s="2">
        <f t="shared" si="0"/>
        <v>0</v>
      </c>
      <c r="T7" s="2">
        <f t="shared" si="0"/>
        <v>0</v>
      </c>
      <c r="U7" s="2">
        <f t="shared" si="0"/>
        <v>0</v>
      </c>
      <c r="V7" s="2">
        <f t="shared" si="0"/>
        <v>0</v>
      </c>
      <c r="W7" s="2">
        <f t="shared" si="0"/>
        <v>0</v>
      </c>
      <c r="X7" s="2">
        <f t="shared" si="0"/>
        <v>0</v>
      </c>
      <c r="Y7" s="2">
        <f t="shared" si="0"/>
        <v>0</v>
      </c>
      <c r="Z7" s="2">
        <f t="shared" si="0"/>
        <v>0</v>
      </c>
      <c r="AA7" s="2">
        <f t="shared" si="1"/>
        <v>0</v>
      </c>
      <c r="AB7" s="2">
        <f t="shared" si="1"/>
        <v>0</v>
      </c>
      <c r="AC7" s="2">
        <f t="shared" si="1"/>
        <v>0</v>
      </c>
    </row>
    <row r="8" spans="2:29" ht="18" x14ac:dyDescent="0.2">
      <c r="B8" s="6"/>
      <c r="C8" s="2"/>
      <c r="D8" s="7"/>
      <c r="E8" t="s">
        <v>26</v>
      </c>
      <c r="F8" t="s">
        <v>10</v>
      </c>
      <c r="G8" s="3">
        <v>6</v>
      </c>
      <c r="H8" s="8">
        <v>2.3410000000000002</v>
      </c>
      <c r="I8" s="10">
        <v>2.1999999999999999E-2</v>
      </c>
      <c r="J8" s="2">
        <f t="shared" si="2"/>
        <v>0</v>
      </c>
      <c r="K8" s="2">
        <f t="shared" si="0"/>
        <v>0</v>
      </c>
      <c r="L8" s="2">
        <f t="shared" si="0"/>
        <v>0</v>
      </c>
      <c r="M8" s="2">
        <f t="shared" si="0"/>
        <v>0</v>
      </c>
      <c r="N8" s="2">
        <f t="shared" si="0"/>
        <v>0</v>
      </c>
      <c r="O8" s="2">
        <f t="shared" si="0"/>
        <v>0</v>
      </c>
      <c r="P8" s="2">
        <f t="shared" si="0"/>
        <v>0</v>
      </c>
      <c r="Q8" s="2">
        <f t="shared" si="0"/>
        <v>2.1999999999999999E-2</v>
      </c>
      <c r="R8" s="2">
        <f t="shared" si="0"/>
        <v>0</v>
      </c>
      <c r="S8" s="2">
        <f t="shared" si="0"/>
        <v>0</v>
      </c>
      <c r="T8" s="2">
        <f t="shared" si="0"/>
        <v>0</v>
      </c>
      <c r="U8" s="2">
        <f t="shared" si="0"/>
        <v>0</v>
      </c>
      <c r="V8" s="2">
        <f t="shared" si="0"/>
        <v>0</v>
      </c>
      <c r="W8" s="2">
        <f t="shared" si="0"/>
        <v>0</v>
      </c>
      <c r="X8" s="2">
        <f t="shared" si="0"/>
        <v>0</v>
      </c>
      <c r="Y8" s="2">
        <f t="shared" si="0"/>
        <v>0</v>
      </c>
      <c r="Z8" s="2">
        <f t="shared" si="0"/>
        <v>0</v>
      </c>
      <c r="AA8" s="2">
        <f t="shared" si="1"/>
        <v>0</v>
      </c>
      <c r="AB8" s="2">
        <f t="shared" si="1"/>
        <v>0</v>
      </c>
      <c r="AC8" s="2">
        <f t="shared" si="1"/>
        <v>0</v>
      </c>
    </row>
    <row r="9" spans="2:29" ht="18" x14ac:dyDescent="0.2">
      <c r="B9" s="6"/>
      <c r="C9" s="2"/>
      <c r="D9" s="7"/>
      <c r="E9" t="s">
        <v>25</v>
      </c>
      <c r="F9" t="s">
        <v>8</v>
      </c>
      <c r="G9" s="3">
        <v>7</v>
      </c>
      <c r="H9" s="8">
        <v>2.37</v>
      </c>
      <c r="I9" s="10">
        <v>1.2999999999999999E-2</v>
      </c>
      <c r="J9" s="2">
        <f t="shared" si="2"/>
        <v>0</v>
      </c>
      <c r="K9" s="2">
        <f t="shared" si="0"/>
        <v>0</v>
      </c>
      <c r="L9" s="2">
        <f t="shared" si="0"/>
        <v>0</v>
      </c>
      <c r="M9" s="2">
        <f t="shared" si="0"/>
        <v>0</v>
      </c>
      <c r="N9" s="2">
        <f t="shared" si="0"/>
        <v>0</v>
      </c>
      <c r="O9" s="2">
        <f t="shared" si="0"/>
        <v>1.2999999999999999E-2</v>
      </c>
      <c r="P9" s="2">
        <f t="shared" si="0"/>
        <v>0</v>
      </c>
      <c r="Q9" s="2">
        <f t="shared" si="0"/>
        <v>0</v>
      </c>
      <c r="R9" s="2">
        <f t="shared" si="0"/>
        <v>0</v>
      </c>
      <c r="S9" s="2">
        <f t="shared" si="0"/>
        <v>0</v>
      </c>
      <c r="T9" s="2">
        <f t="shared" si="0"/>
        <v>0</v>
      </c>
      <c r="U9" s="2">
        <f t="shared" si="0"/>
        <v>0</v>
      </c>
      <c r="V9" s="2">
        <f t="shared" si="0"/>
        <v>0</v>
      </c>
      <c r="W9" s="2">
        <f t="shared" si="0"/>
        <v>0</v>
      </c>
      <c r="X9" s="2">
        <f t="shared" si="0"/>
        <v>0</v>
      </c>
      <c r="Y9" s="2">
        <f t="shared" si="0"/>
        <v>0</v>
      </c>
      <c r="Z9" s="2">
        <f t="shared" si="0"/>
        <v>0</v>
      </c>
      <c r="AA9" s="2">
        <f t="shared" si="1"/>
        <v>0</v>
      </c>
      <c r="AB9" s="2">
        <f t="shared" si="1"/>
        <v>0</v>
      </c>
      <c r="AC9" s="2">
        <f t="shared" si="1"/>
        <v>0</v>
      </c>
    </row>
    <row r="10" spans="2:29" ht="18" x14ac:dyDescent="0.2">
      <c r="B10" s="6"/>
      <c r="C10" s="2"/>
      <c r="D10" s="7"/>
      <c r="E10" t="s">
        <v>26</v>
      </c>
      <c r="F10" t="s">
        <v>9</v>
      </c>
      <c r="G10" s="3">
        <v>8</v>
      </c>
      <c r="H10" s="8">
        <v>2.419</v>
      </c>
      <c r="I10" s="10">
        <v>7.5919999999999998E-3</v>
      </c>
      <c r="J10" s="2">
        <f t="shared" si="2"/>
        <v>0</v>
      </c>
      <c r="K10" s="2">
        <f t="shared" si="0"/>
        <v>0</v>
      </c>
      <c r="L10" s="2">
        <f t="shared" si="0"/>
        <v>0</v>
      </c>
      <c r="M10" s="2">
        <f t="shared" si="0"/>
        <v>0</v>
      </c>
      <c r="N10" s="2">
        <f t="shared" si="0"/>
        <v>0</v>
      </c>
      <c r="O10" s="2">
        <f t="shared" si="0"/>
        <v>0</v>
      </c>
      <c r="P10" s="2">
        <f t="shared" si="0"/>
        <v>7.5919999999999998E-3</v>
      </c>
      <c r="Q10" s="2">
        <f t="shared" si="0"/>
        <v>0</v>
      </c>
      <c r="R10" s="2">
        <f t="shared" si="0"/>
        <v>0</v>
      </c>
      <c r="S10" s="2">
        <f t="shared" si="0"/>
        <v>0</v>
      </c>
      <c r="T10" s="2">
        <f t="shared" si="0"/>
        <v>0</v>
      </c>
      <c r="U10" s="2">
        <f t="shared" si="0"/>
        <v>0</v>
      </c>
      <c r="V10" s="2">
        <f t="shared" si="0"/>
        <v>0</v>
      </c>
      <c r="W10" s="2">
        <f t="shared" si="0"/>
        <v>0</v>
      </c>
      <c r="X10" s="2">
        <f t="shared" si="0"/>
        <v>0</v>
      </c>
      <c r="Y10" s="2">
        <f t="shared" si="0"/>
        <v>0</v>
      </c>
      <c r="Z10" s="2">
        <f t="shared" si="0"/>
        <v>0</v>
      </c>
      <c r="AA10" s="2">
        <f t="shared" si="1"/>
        <v>0</v>
      </c>
      <c r="AB10" s="2">
        <f t="shared" si="1"/>
        <v>0</v>
      </c>
      <c r="AC10" s="2">
        <f t="shared" si="1"/>
        <v>0</v>
      </c>
    </row>
    <row r="11" spans="2:29" ht="18" x14ac:dyDescent="0.2">
      <c r="B11" s="6"/>
      <c r="C11" s="2"/>
      <c r="D11" s="7"/>
      <c r="E11" s="9" t="s">
        <v>26</v>
      </c>
      <c r="F11" t="s">
        <v>12</v>
      </c>
      <c r="G11" s="3">
        <v>9</v>
      </c>
      <c r="H11" s="8">
        <v>2.5499999999999998</v>
      </c>
      <c r="I11" s="10">
        <f>4.98*0.0055161</f>
        <v>2.7470178000000005E-2</v>
      </c>
      <c r="J11" s="2">
        <f t="shared" si="2"/>
        <v>0</v>
      </c>
      <c r="K11" s="2">
        <f t="shared" si="0"/>
        <v>0</v>
      </c>
      <c r="L11" s="2">
        <f t="shared" si="0"/>
        <v>0</v>
      </c>
      <c r="M11" s="2">
        <f t="shared" si="0"/>
        <v>0</v>
      </c>
      <c r="N11" s="2">
        <f t="shared" si="0"/>
        <v>0</v>
      </c>
      <c r="O11" s="2">
        <f t="shared" si="0"/>
        <v>0</v>
      </c>
      <c r="P11" s="2">
        <f t="shared" si="0"/>
        <v>0</v>
      </c>
      <c r="Q11" s="2">
        <f t="shared" si="0"/>
        <v>0</v>
      </c>
      <c r="R11" s="2">
        <f t="shared" si="0"/>
        <v>0</v>
      </c>
      <c r="S11" s="2">
        <f t="shared" si="0"/>
        <v>2.7470178000000005E-2</v>
      </c>
      <c r="T11" s="2">
        <f t="shared" si="0"/>
        <v>0</v>
      </c>
      <c r="U11" s="2">
        <f t="shared" si="0"/>
        <v>0</v>
      </c>
      <c r="V11" s="2">
        <f t="shared" si="0"/>
        <v>0</v>
      </c>
      <c r="W11" s="2">
        <f t="shared" si="0"/>
        <v>0</v>
      </c>
      <c r="X11" s="2">
        <f t="shared" si="0"/>
        <v>0</v>
      </c>
      <c r="Y11" s="2">
        <f t="shared" si="0"/>
        <v>0</v>
      </c>
      <c r="Z11" s="2">
        <f t="shared" si="0"/>
        <v>0</v>
      </c>
      <c r="AA11" s="2">
        <f t="shared" si="1"/>
        <v>0</v>
      </c>
      <c r="AB11" s="2">
        <f t="shared" si="1"/>
        <v>0</v>
      </c>
      <c r="AC11" s="2">
        <f t="shared" si="1"/>
        <v>0</v>
      </c>
    </row>
    <row r="12" spans="2:29" ht="18" x14ac:dyDescent="0.2">
      <c r="B12" s="6"/>
      <c r="C12" s="2"/>
      <c r="D12" s="7"/>
      <c r="E12" s="9" t="s">
        <v>26</v>
      </c>
      <c r="F12" t="s">
        <v>12</v>
      </c>
      <c r="G12" s="3">
        <v>10</v>
      </c>
      <c r="H12" s="8">
        <v>2.63</v>
      </c>
      <c r="I12" s="10">
        <f>4.98*0.0497841025641026/3</f>
        <v>8.2641610256410328E-2</v>
      </c>
      <c r="J12" s="2">
        <f t="shared" si="2"/>
        <v>0</v>
      </c>
      <c r="K12" s="2">
        <f t="shared" si="0"/>
        <v>0</v>
      </c>
      <c r="L12" s="2">
        <f t="shared" si="0"/>
        <v>0</v>
      </c>
      <c r="M12" s="2">
        <f t="shared" si="0"/>
        <v>0</v>
      </c>
      <c r="N12" s="2">
        <f t="shared" si="0"/>
        <v>0</v>
      </c>
      <c r="O12" s="2">
        <f t="shared" si="0"/>
        <v>0</v>
      </c>
      <c r="P12" s="2">
        <f t="shared" si="0"/>
        <v>0</v>
      </c>
      <c r="Q12" s="2">
        <f t="shared" si="0"/>
        <v>0</v>
      </c>
      <c r="R12" s="2">
        <f t="shared" si="0"/>
        <v>0</v>
      </c>
      <c r="S12" s="2">
        <f t="shared" si="0"/>
        <v>8.2641610256410328E-2</v>
      </c>
      <c r="T12" s="2">
        <f t="shared" si="0"/>
        <v>0</v>
      </c>
      <c r="U12" s="2">
        <f t="shared" si="0"/>
        <v>0</v>
      </c>
      <c r="V12" s="2">
        <f t="shared" si="0"/>
        <v>0</v>
      </c>
      <c r="W12" s="2">
        <f t="shared" si="0"/>
        <v>0</v>
      </c>
      <c r="X12" s="2">
        <f t="shared" si="0"/>
        <v>0</v>
      </c>
      <c r="Y12" s="2">
        <f t="shared" si="0"/>
        <v>0</v>
      </c>
      <c r="Z12" s="2">
        <f t="shared" si="0"/>
        <v>0</v>
      </c>
      <c r="AA12" s="2">
        <f t="shared" si="1"/>
        <v>0</v>
      </c>
      <c r="AB12" s="2">
        <f t="shared" si="1"/>
        <v>0</v>
      </c>
      <c r="AC12" s="2">
        <f t="shared" si="1"/>
        <v>0</v>
      </c>
    </row>
    <row r="13" spans="2:29" ht="18" x14ac:dyDescent="0.2">
      <c r="B13" s="6"/>
      <c r="C13" s="2"/>
      <c r="D13" s="7"/>
      <c r="F13" t="s">
        <v>8</v>
      </c>
      <c r="G13" s="3">
        <v>11</v>
      </c>
      <c r="H13" s="8">
        <v>2.6509999999999998</v>
      </c>
      <c r="I13" s="10">
        <f>4.98*0.0497841025641026/3</f>
        <v>8.2641610256410328E-2</v>
      </c>
      <c r="J13" s="2">
        <f t="shared" si="2"/>
        <v>0</v>
      </c>
      <c r="K13" s="2">
        <f t="shared" si="0"/>
        <v>0</v>
      </c>
      <c r="L13" s="2">
        <f t="shared" si="0"/>
        <v>0</v>
      </c>
      <c r="M13" s="2">
        <f t="shared" si="0"/>
        <v>0</v>
      </c>
      <c r="N13" s="2">
        <f t="shared" si="0"/>
        <v>0</v>
      </c>
      <c r="O13" s="2">
        <f t="shared" si="0"/>
        <v>8.2641610256410328E-2</v>
      </c>
      <c r="P13" s="2">
        <f t="shared" si="0"/>
        <v>0</v>
      </c>
      <c r="Q13" s="2">
        <f t="shared" si="0"/>
        <v>0</v>
      </c>
      <c r="R13" s="2">
        <f t="shared" si="0"/>
        <v>0</v>
      </c>
      <c r="S13" s="2">
        <f t="shared" si="0"/>
        <v>0</v>
      </c>
      <c r="T13" s="2">
        <f t="shared" si="0"/>
        <v>0</v>
      </c>
      <c r="U13" s="2">
        <f t="shared" si="0"/>
        <v>0</v>
      </c>
      <c r="V13" s="2">
        <f t="shared" si="0"/>
        <v>0</v>
      </c>
      <c r="W13" s="2">
        <f t="shared" si="0"/>
        <v>0</v>
      </c>
      <c r="X13" s="2">
        <f t="shared" si="0"/>
        <v>0</v>
      </c>
      <c r="Y13" s="2">
        <f t="shared" si="0"/>
        <v>0</v>
      </c>
      <c r="Z13" s="2">
        <f t="shared" si="0"/>
        <v>0</v>
      </c>
      <c r="AA13" s="2">
        <f t="shared" si="1"/>
        <v>0</v>
      </c>
      <c r="AB13" s="2">
        <f t="shared" si="1"/>
        <v>0</v>
      </c>
      <c r="AC13" s="2">
        <f t="shared" si="1"/>
        <v>0</v>
      </c>
    </row>
    <row r="14" spans="2:29" ht="18" x14ac:dyDescent="0.2">
      <c r="B14" s="6"/>
      <c r="C14" s="2"/>
      <c r="D14" s="7"/>
      <c r="F14" t="s">
        <v>4</v>
      </c>
      <c r="G14" s="3">
        <v>12</v>
      </c>
      <c r="H14" s="8">
        <v>2.7759999999999998</v>
      </c>
      <c r="I14" s="10">
        <f>4.98*0.0497841025641026/3</f>
        <v>8.2641610256410328E-2</v>
      </c>
      <c r="J14" s="2">
        <f t="shared" si="2"/>
        <v>0</v>
      </c>
      <c r="K14" s="2">
        <f t="shared" si="0"/>
        <v>8.2641610256410328E-2</v>
      </c>
      <c r="L14" s="2">
        <f t="shared" si="0"/>
        <v>0</v>
      </c>
      <c r="M14" s="2">
        <f t="shared" si="0"/>
        <v>0</v>
      </c>
      <c r="N14" s="2">
        <f t="shared" si="0"/>
        <v>0</v>
      </c>
      <c r="O14" s="2">
        <f t="shared" si="0"/>
        <v>0</v>
      </c>
      <c r="P14" s="2">
        <f t="shared" si="0"/>
        <v>0</v>
      </c>
      <c r="Q14" s="2">
        <f t="shared" si="0"/>
        <v>0</v>
      </c>
      <c r="R14" s="2">
        <f t="shared" si="0"/>
        <v>0</v>
      </c>
      <c r="S14" s="2">
        <f t="shared" si="0"/>
        <v>0</v>
      </c>
      <c r="T14" s="2">
        <f t="shared" si="0"/>
        <v>0</v>
      </c>
      <c r="U14" s="2">
        <f t="shared" si="0"/>
        <v>0</v>
      </c>
      <c r="V14" s="2">
        <f t="shared" si="0"/>
        <v>0</v>
      </c>
      <c r="W14" s="2">
        <f t="shared" si="0"/>
        <v>0</v>
      </c>
      <c r="X14" s="2">
        <f t="shared" si="0"/>
        <v>0</v>
      </c>
      <c r="Y14" s="2">
        <f t="shared" si="0"/>
        <v>0</v>
      </c>
      <c r="Z14" s="2">
        <f t="shared" si="0"/>
        <v>0</v>
      </c>
      <c r="AA14" s="2">
        <f t="shared" si="1"/>
        <v>0</v>
      </c>
      <c r="AB14" s="2">
        <f t="shared" si="1"/>
        <v>0</v>
      </c>
      <c r="AC14" s="2">
        <f t="shared" si="1"/>
        <v>0</v>
      </c>
    </row>
    <row r="15" spans="2:29" ht="18" x14ac:dyDescent="0.2">
      <c r="B15" s="6"/>
      <c r="C15" s="2"/>
      <c r="D15" s="7"/>
      <c r="E15" s="9" t="s">
        <v>26</v>
      </c>
      <c r="F15" t="s">
        <v>8</v>
      </c>
      <c r="G15" s="3">
        <v>13</v>
      </c>
      <c r="H15" s="8">
        <v>2.8279999999999998</v>
      </c>
      <c r="I15" s="10">
        <f>4.98*0.400167857142857/6</f>
        <v>0.33213932142857133</v>
      </c>
      <c r="J15" s="2">
        <f t="shared" si="2"/>
        <v>0</v>
      </c>
      <c r="K15" s="2">
        <f t="shared" si="0"/>
        <v>0</v>
      </c>
      <c r="L15" s="2">
        <f t="shared" si="0"/>
        <v>0</v>
      </c>
      <c r="M15" s="2">
        <f t="shared" si="0"/>
        <v>0</v>
      </c>
      <c r="N15" s="2">
        <f t="shared" si="0"/>
        <v>0</v>
      </c>
      <c r="O15" s="2">
        <f t="shared" si="0"/>
        <v>0.33213932142857133</v>
      </c>
      <c r="P15" s="2">
        <f t="shared" si="0"/>
        <v>0</v>
      </c>
      <c r="Q15" s="2">
        <f t="shared" si="0"/>
        <v>0</v>
      </c>
      <c r="R15" s="2">
        <f t="shared" si="0"/>
        <v>0</v>
      </c>
      <c r="S15" s="2">
        <f t="shared" si="0"/>
        <v>0</v>
      </c>
      <c r="T15" s="2">
        <f t="shared" si="0"/>
        <v>0</v>
      </c>
      <c r="U15" s="2">
        <f t="shared" si="0"/>
        <v>0</v>
      </c>
      <c r="V15" s="2">
        <f t="shared" si="0"/>
        <v>0</v>
      </c>
      <c r="W15" s="2">
        <f t="shared" si="0"/>
        <v>0</v>
      </c>
      <c r="X15" s="2">
        <f t="shared" si="0"/>
        <v>0</v>
      </c>
      <c r="Y15" s="2">
        <f t="shared" si="0"/>
        <v>0</v>
      </c>
      <c r="Z15" s="2">
        <f t="shared" si="0"/>
        <v>0</v>
      </c>
      <c r="AA15" s="2">
        <f t="shared" si="1"/>
        <v>0</v>
      </c>
      <c r="AB15" s="2">
        <f t="shared" si="1"/>
        <v>0</v>
      </c>
      <c r="AC15" s="2">
        <f t="shared" si="1"/>
        <v>0</v>
      </c>
    </row>
    <row r="16" spans="2:29" ht="18" x14ac:dyDescent="0.2">
      <c r="B16" s="5"/>
      <c r="C16" s="2"/>
      <c r="D16" s="7"/>
      <c r="E16" s="9" t="s">
        <v>26</v>
      </c>
      <c r="F16" t="s">
        <v>14</v>
      </c>
      <c r="G16" s="3">
        <v>14</v>
      </c>
      <c r="H16" s="5">
        <v>2.8559999999999999</v>
      </c>
      <c r="I16" s="10">
        <f>4.98*0.400167857142857/6</f>
        <v>0.33213932142857133</v>
      </c>
      <c r="J16" s="2">
        <f t="shared" si="2"/>
        <v>0</v>
      </c>
      <c r="K16" s="2">
        <f t="shared" si="0"/>
        <v>0</v>
      </c>
      <c r="L16" s="2">
        <f t="shared" si="0"/>
        <v>0</v>
      </c>
      <c r="M16" s="2">
        <f t="shared" si="0"/>
        <v>0</v>
      </c>
      <c r="N16" s="2">
        <f t="shared" si="0"/>
        <v>0</v>
      </c>
      <c r="O16" s="2">
        <f t="shared" si="0"/>
        <v>0</v>
      </c>
      <c r="P16" s="2">
        <f t="shared" si="0"/>
        <v>0</v>
      </c>
      <c r="Q16" s="2">
        <f t="shared" si="0"/>
        <v>0</v>
      </c>
      <c r="R16" s="2">
        <f t="shared" si="0"/>
        <v>0</v>
      </c>
      <c r="S16" s="2">
        <f t="shared" si="0"/>
        <v>0</v>
      </c>
      <c r="T16" s="2">
        <f t="shared" si="0"/>
        <v>0</v>
      </c>
      <c r="U16" s="2">
        <f t="shared" si="0"/>
        <v>0.33213932142857133</v>
      </c>
      <c r="V16" s="2">
        <f t="shared" si="0"/>
        <v>0</v>
      </c>
      <c r="W16" s="2">
        <f t="shared" si="0"/>
        <v>0</v>
      </c>
      <c r="X16" s="2">
        <f t="shared" si="0"/>
        <v>0</v>
      </c>
      <c r="Y16" s="2">
        <f t="shared" si="0"/>
        <v>0</v>
      </c>
      <c r="Z16" s="2">
        <f t="shared" si="0"/>
        <v>0</v>
      </c>
      <c r="AA16" s="2">
        <f t="shared" si="1"/>
        <v>0</v>
      </c>
      <c r="AB16" s="2">
        <f t="shared" si="1"/>
        <v>0</v>
      </c>
      <c r="AC16" s="2">
        <f t="shared" si="1"/>
        <v>0</v>
      </c>
    </row>
    <row r="17" spans="2:29" ht="18" x14ac:dyDescent="0.2">
      <c r="B17" s="5"/>
      <c r="C17" s="2"/>
      <c r="D17" s="7"/>
      <c r="E17" s="9" t="s">
        <v>26</v>
      </c>
      <c r="F17" t="s">
        <v>8</v>
      </c>
      <c r="G17" s="3">
        <v>15</v>
      </c>
      <c r="H17" s="5">
        <v>2.875</v>
      </c>
      <c r="I17" s="10">
        <f>4.98*0.400167857142857/6</f>
        <v>0.33213932142857133</v>
      </c>
      <c r="J17" s="2">
        <f t="shared" si="2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  <c r="N17" s="2">
        <f t="shared" si="0"/>
        <v>0</v>
      </c>
      <c r="O17" s="2">
        <f t="shared" si="0"/>
        <v>0.33213932142857133</v>
      </c>
      <c r="P17" s="2">
        <f t="shared" si="0"/>
        <v>0</v>
      </c>
      <c r="Q17" s="2">
        <f t="shared" si="0"/>
        <v>0</v>
      </c>
      <c r="R17" s="2">
        <f t="shared" si="0"/>
        <v>0</v>
      </c>
      <c r="S17" s="2">
        <f t="shared" si="0"/>
        <v>0</v>
      </c>
      <c r="T17" s="2">
        <f t="shared" si="0"/>
        <v>0</v>
      </c>
      <c r="U17" s="2">
        <f t="shared" si="0"/>
        <v>0</v>
      </c>
      <c r="V17" s="2">
        <f t="shared" si="0"/>
        <v>0</v>
      </c>
      <c r="W17" s="2">
        <f t="shared" si="0"/>
        <v>0</v>
      </c>
      <c r="X17" s="2">
        <f t="shared" si="0"/>
        <v>0</v>
      </c>
      <c r="Y17" s="2">
        <f t="shared" si="0"/>
        <v>0</v>
      </c>
      <c r="Z17" s="2">
        <f t="shared" ref="Z17:AC20" si="3">IF(EXACT($F17,Z$1),$I17,0)</f>
        <v>0</v>
      </c>
      <c r="AA17" s="2">
        <f t="shared" si="1"/>
        <v>0</v>
      </c>
      <c r="AB17" s="2">
        <f t="shared" si="1"/>
        <v>0</v>
      </c>
      <c r="AC17" s="2">
        <f t="shared" si="1"/>
        <v>0</v>
      </c>
    </row>
    <row r="18" spans="2:29" ht="18" x14ac:dyDescent="0.2">
      <c r="B18" s="5"/>
      <c r="C18" s="2"/>
      <c r="D18" s="7"/>
      <c r="E18" s="9" t="s">
        <v>26</v>
      </c>
      <c r="F18" t="s">
        <v>12</v>
      </c>
      <c r="G18" s="3">
        <v>16</v>
      </c>
      <c r="H18" s="5">
        <v>2.9289999999999998</v>
      </c>
      <c r="I18" s="10">
        <f>4.98*0.400167857142857/6</f>
        <v>0.33213932142857133</v>
      </c>
      <c r="J18" s="2">
        <f t="shared" si="2"/>
        <v>0</v>
      </c>
      <c r="K18" s="2">
        <f t="shared" si="2"/>
        <v>0</v>
      </c>
      <c r="L18" s="2">
        <f t="shared" si="2"/>
        <v>0</v>
      </c>
      <c r="M18" s="2">
        <f t="shared" si="2"/>
        <v>0</v>
      </c>
      <c r="N18" s="2">
        <f t="shared" si="2"/>
        <v>0</v>
      </c>
      <c r="O18" s="2">
        <f t="shared" si="2"/>
        <v>0</v>
      </c>
      <c r="P18" s="2">
        <f t="shared" si="2"/>
        <v>0</v>
      </c>
      <c r="Q18" s="2">
        <f t="shared" si="2"/>
        <v>0</v>
      </c>
      <c r="R18" s="2">
        <f t="shared" si="2"/>
        <v>0</v>
      </c>
      <c r="S18" s="2">
        <f t="shared" si="2"/>
        <v>0.33213932142857133</v>
      </c>
      <c r="T18" s="2">
        <f t="shared" si="2"/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2">
        <f t="shared" si="2"/>
        <v>0</v>
      </c>
      <c r="Y18" s="2">
        <f t="shared" si="2"/>
        <v>0</v>
      </c>
      <c r="Z18" s="2">
        <f t="shared" si="3"/>
        <v>0</v>
      </c>
      <c r="AA18" s="2">
        <f t="shared" si="1"/>
        <v>0</v>
      </c>
      <c r="AB18" s="2">
        <f t="shared" si="1"/>
        <v>0</v>
      </c>
      <c r="AC18" s="2">
        <f t="shared" si="1"/>
        <v>0</v>
      </c>
    </row>
    <row r="19" spans="2:29" ht="18" x14ac:dyDescent="0.2">
      <c r="B19" s="5"/>
      <c r="C19" s="2"/>
      <c r="D19" s="7"/>
      <c r="E19" s="9" t="s">
        <v>26</v>
      </c>
      <c r="F19" t="s">
        <v>8</v>
      </c>
      <c r="G19" s="3">
        <v>17</v>
      </c>
      <c r="H19" s="5">
        <v>2.9449999999999998</v>
      </c>
      <c r="I19" s="10">
        <f>4.98*0.400167857142857/6</f>
        <v>0.33213932142857133</v>
      </c>
      <c r="J19" s="2">
        <f t="shared" ref="J19:Y20" si="4">IF(EXACT($F19,J$1),$I19,0)</f>
        <v>0</v>
      </c>
      <c r="K19" s="2">
        <f t="shared" si="4"/>
        <v>0</v>
      </c>
      <c r="L19" s="2">
        <f t="shared" si="4"/>
        <v>0</v>
      </c>
      <c r="M19" s="2">
        <f t="shared" si="4"/>
        <v>0</v>
      </c>
      <c r="N19" s="2">
        <f t="shared" si="4"/>
        <v>0</v>
      </c>
      <c r="O19" s="2">
        <f t="shared" si="4"/>
        <v>0.33213932142857133</v>
      </c>
      <c r="P19" s="2">
        <f t="shared" si="4"/>
        <v>0</v>
      </c>
      <c r="Q19" s="2">
        <f t="shared" si="4"/>
        <v>0</v>
      </c>
      <c r="R19" s="2">
        <f t="shared" si="4"/>
        <v>0</v>
      </c>
      <c r="S19" s="2">
        <f t="shared" si="4"/>
        <v>0</v>
      </c>
      <c r="T19" s="2">
        <f t="shared" si="4"/>
        <v>0</v>
      </c>
      <c r="U19" s="2">
        <f t="shared" si="4"/>
        <v>0</v>
      </c>
      <c r="V19" s="2">
        <f t="shared" si="4"/>
        <v>0</v>
      </c>
      <c r="W19" s="2">
        <f t="shared" si="4"/>
        <v>0</v>
      </c>
      <c r="X19" s="2">
        <f t="shared" si="4"/>
        <v>0</v>
      </c>
      <c r="Y19" s="2">
        <f t="shared" si="4"/>
        <v>0</v>
      </c>
      <c r="Z19" s="2">
        <f t="shared" si="3"/>
        <v>0</v>
      </c>
      <c r="AA19" s="2">
        <f t="shared" si="1"/>
        <v>0</v>
      </c>
      <c r="AB19" s="2">
        <f t="shared" si="1"/>
        <v>0</v>
      </c>
      <c r="AC19" s="2">
        <f t="shared" si="1"/>
        <v>0</v>
      </c>
    </row>
    <row r="20" spans="2:29" ht="18" x14ac:dyDescent="0.2">
      <c r="B20" s="5"/>
      <c r="C20" s="2"/>
      <c r="D20" s="7"/>
      <c r="E20" s="9" t="s">
        <v>26</v>
      </c>
      <c r="F20" t="s">
        <v>9</v>
      </c>
      <c r="G20" s="3">
        <v>18</v>
      </c>
      <c r="H20" s="5">
        <v>2.9660000000000002</v>
      </c>
      <c r="I20" s="10">
        <f>4.98*0.400167857142857/6</f>
        <v>0.33213932142857133</v>
      </c>
      <c r="J20" s="2">
        <f t="shared" si="4"/>
        <v>0</v>
      </c>
      <c r="K20" s="2">
        <f t="shared" si="4"/>
        <v>0</v>
      </c>
      <c r="L20" s="2">
        <f t="shared" si="4"/>
        <v>0</v>
      </c>
      <c r="M20" s="2">
        <f t="shared" si="4"/>
        <v>0</v>
      </c>
      <c r="N20" s="2">
        <f t="shared" si="4"/>
        <v>0</v>
      </c>
      <c r="O20" s="2">
        <f t="shared" si="4"/>
        <v>0</v>
      </c>
      <c r="P20" s="2">
        <f t="shared" si="4"/>
        <v>0.33213932142857133</v>
      </c>
      <c r="Q20" s="2">
        <f t="shared" si="4"/>
        <v>0</v>
      </c>
      <c r="R20" s="2">
        <f t="shared" si="4"/>
        <v>0</v>
      </c>
      <c r="S20" s="2">
        <f t="shared" si="4"/>
        <v>0</v>
      </c>
      <c r="T20" s="2">
        <f t="shared" si="4"/>
        <v>0</v>
      </c>
      <c r="U20" s="2">
        <f t="shared" si="4"/>
        <v>0</v>
      </c>
      <c r="V20" s="2">
        <f t="shared" si="4"/>
        <v>0</v>
      </c>
      <c r="W20" s="2">
        <f t="shared" si="4"/>
        <v>0</v>
      </c>
      <c r="X20" s="2">
        <f t="shared" si="4"/>
        <v>0</v>
      </c>
      <c r="Y20" s="2">
        <f t="shared" si="4"/>
        <v>0</v>
      </c>
      <c r="Z20" s="2">
        <f t="shared" si="3"/>
        <v>0</v>
      </c>
      <c r="AA20" s="2">
        <f t="shared" si="1"/>
        <v>0</v>
      </c>
      <c r="AB20" s="2">
        <f t="shared" si="1"/>
        <v>0</v>
      </c>
      <c r="AC20" s="2">
        <f t="shared" si="1"/>
        <v>0</v>
      </c>
    </row>
    <row r="21" spans="2:29" ht="18" x14ac:dyDescent="0.2">
      <c r="B21" s="5"/>
      <c r="C21" s="2"/>
      <c r="D21" s="7"/>
      <c r="E21" s="9" t="s">
        <v>27</v>
      </c>
      <c r="G21" s="3">
        <v>19</v>
      </c>
      <c r="H21" s="5">
        <v>3</v>
      </c>
      <c r="I21" s="10">
        <v>1.0479329378037268</v>
      </c>
      <c r="J21" s="2">
        <f>I21/3</f>
        <v>0.34931097926790894</v>
      </c>
      <c r="K21" s="2">
        <v>0</v>
      </c>
      <c r="L21" s="2">
        <f>I21/3</f>
        <v>0.34931097926790894</v>
      </c>
      <c r="M21" s="2">
        <v>0</v>
      </c>
      <c r="N21" s="2">
        <f>I21/3</f>
        <v>0.34931097926790894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2:29" ht="18" x14ac:dyDescent="0.2">
      <c r="B22" s="5"/>
      <c r="C22" s="2"/>
      <c r="D22" s="7"/>
      <c r="G22" s="3">
        <v>20</v>
      </c>
      <c r="H22" s="5">
        <v>3.2</v>
      </c>
      <c r="I22" s="10">
        <v>0.40098225318541003</v>
      </c>
      <c r="J22" s="2">
        <f t="shared" ref="J22:J45" si="5">I22/3</f>
        <v>0.13366075106180333</v>
      </c>
      <c r="K22" s="2">
        <v>0</v>
      </c>
      <c r="L22" s="2">
        <f t="shared" ref="L22:L45" si="6">I22/3</f>
        <v>0.13366075106180333</v>
      </c>
      <c r="M22" s="2">
        <v>0</v>
      </c>
      <c r="N22" s="2">
        <f t="shared" ref="N22:N45" si="7">I22/3</f>
        <v>0.13366075106180333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2:29" ht="18" x14ac:dyDescent="0.2">
      <c r="B23" s="5"/>
      <c r="C23" s="2"/>
      <c r="D23" s="7"/>
      <c r="G23" s="3">
        <v>21</v>
      </c>
      <c r="H23" s="5">
        <v>3.4</v>
      </c>
      <c r="I23" s="10">
        <v>0.11566280348450113</v>
      </c>
      <c r="J23" s="2">
        <f t="shared" si="5"/>
        <v>3.8554267828167045E-2</v>
      </c>
      <c r="K23" s="2">
        <v>0</v>
      </c>
      <c r="L23" s="2">
        <f t="shared" si="6"/>
        <v>3.8554267828167045E-2</v>
      </c>
      <c r="M23" s="2">
        <v>0</v>
      </c>
      <c r="N23" s="2">
        <f t="shared" si="7"/>
        <v>3.8554267828167045E-2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2:29" ht="18" x14ac:dyDescent="0.2">
      <c r="B24" s="5"/>
      <c r="C24" s="2"/>
      <c r="D24" s="7"/>
      <c r="G24" s="3">
        <v>22</v>
      </c>
      <c r="H24" s="5">
        <v>3.6</v>
      </c>
      <c r="I24" s="10">
        <v>7.7111918155387621E-2</v>
      </c>
      <c r="J24" s="2">
        <f t="shared" si="5"/>
        <v>2.5703972718462541E-2</v>
      </c>
      <c r="K24" s="2">
        <v>0</v>
      </c>
      <c r="L24" s="2">
        <f t="shared" si="6"/>
        <v>2.5703972718462541E-2</v>
      </c>
      <c r="M24" s="2">
        <v>0</v>
      </c>
      <c r="N24" s="2">
        <f t="shared" si="7"/>
        <v>2.5703972718462541E-2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2:29" ht="18" x14ac:dyDescent="0.2">
      <c r="B25" s="5"/>
      <c r="C25" s="2"/>
      <c r="D25" s="7"/>
      <c r="G25" s="3">
        <v>23</v>
      </c>
      <c r="H25" s="5">
        <v>3.8</v>
      </c>
      <c r="I25" s="10">
        <v>5.5126550133026093E-2</v>
      </c>
      <c r="J25" s="2">
        <f t="shared" si="5"/>
        <v>1.8375516711008698E-2</v>
      </c>
      <c r="K25" s="2">
        <v>0</v>
      </c>
      <c r="L25" s="2">
        <f t="shared" si="6"/>
        <v>1.8375516711008698E-2</v>
      </c>
      <c r="M25" s="2">
        <v>0</v>
      </c>
      <c r="N25" s="2">
        <f t="shared" si="7"/>
        <v>1.8375516711008698E-2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2:29" ht="18" x14ac:dyDescent="0.2">
      <c r="B26" s="5"/>
      <c r="C26" s="2"/>
      <c r="D26" s="7"/>
      <c r="G26" s="3">
        <v>24</v>
      </c>
      <c r="H26" s="5">
        <v>4</v>
      </c>
      <c r="I26" s="10">
        <v>0.12529214407135666</v>
      </c>
      <c r="J26" s="2">
        <f t="shared" si="5"/>
        <v>4.1764048023785555E-2</v>
      </c>
      <c r="K26" s="2">
        <v>0</v>
      </c>
      <c r="L26" s="2">
        <f t="shared" si="6"/>
        <v>4.1764048023785555E-2</v>
      </c>
      <c r="M26" s="2">
        <v>0</v>
      </c>
      <c r="N26" s="2">
        <f t="shared" si="7"/>
        <v>4.1764048023785555E-2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2:29" ht="18" x14ac:dyDescent="0.2">
      <c r="B27" s="5"/>
      <c r="C27" s="2"/>
      <c r="D27" s="7"/>
      <c r="G27" s="3">
        <v>25</v>
      </c>
      <c r="H27" s="5">
        <v>4.2</v>
      </c>
      <c r="I27" s="10">
        <v>0.45756076426861775</v>
      </c>
      <c r="J27" s="2">
        <f t="shared" si="5"/>
        <v>0.15252025475620593</v>
      </c>
      <c r="K27" s="2">
        <v>0</v>
      </c>
      <c r="L27" s="2">
        <f t="shared" si="6"/>
        <v>0.15252025475620593</v>
      </c>
      <c r="M27" s="2">
        <v>0</v>
      </c>
      <c r="N27" s="2">
        <f t="shared" si="7"/>
        <v>0.15252025475620593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2:29" ht="18" x14ac:dyDescent="0.2">
      <c r="B28" s="5"/>
      <c r="C28" s="2"/>
      <c r="D28" s="7"/>
      <c r="G28" s="3">
        <v>26</v>
      </c>
      <c r="H28" s="5">
        <v>4.4000000000000004</v>
      </c>
      <c r="I28" s="10">
        <v>3.3150164716569503</v>
      </c>
      <c r="J28" s="2">
        <f t="shared" si="5"/>
        <v>1.1050054905523168</v>
      </c>
      <c r="K28" s="2">
        <v>0</v>
      </c>
      <c r="L28" s="2">
        <f t="shared" si="6"/>
        <v>1.1050054905523168</v>
      </c>
      <c r="M28" s="2">
        <v>0</v>
      </c>
      <c r="N28" s="2">
        <f t="shared" si="7"/>
        <v>1.1050054905523168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2:29" ht="18" x14ac:dyDescent="0.2">
      <c r="B29" s="5"/>
      <c r="C29" s="2"/>
      <c r="D29" s="7"/>
      <c r="G29" s="3">
        <v>27</v>
      </c>
      <c r="H29" s="5">
        <v>4.5999999999999996</v>
      </c>
      <c r="I29" s="10">
        <v>10.755843642183422</v>
      </c>
      <c r="J29" s="2">
        <f t="shared" si="5"/>
        <v>3.5852812140611405</v>
      </c>
      <c r="K29" s="2">
        <v>0</v>
      </c>
      <c r="L29" s="2">
        <f t="shared" si="6"/>
        <v>3.5852812140611405</v>
      </c>
      <c r="M29" s="2">
        <v>0</v>
      </c>
      <c r="N29" s="2">
        <f t="shared" si="7"/>
        <v>3.5852812140611405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2:29" ht="18" x14ac:dyDescent="0.2">
      <c r="B30" s="5"/>
      <c r="C30" s="2"/>
      <c r="D30" s="7"/>
      <c r="G30" s="3">
        <v>28</v>
      </c>
      <c r="H30" s="5">
        <v>4.8</v>
      </c>
      <c r="I30" s="10">
        <v>10.189109664919929</v>
      </c>
      <c r="J30" s="2">
        <f t="shared" si="5"/>
        <v>3.3963698883066429</v>
      </c>
      <c r="K30" s="2">
        <v>0</v>
      </c>
      <c r="L30" s="2">
        <f t="shared" si="6"/>
        <v>3.3963698883066429</v>
      </c>
      <c r="M30" s="2">
        <v>0</v>
      </c>
      <c r="N30" s="2">
        <f t="shared" si="7"/>
        <v>3.3963698883066429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2:29" ht="18" x14ac:dyDescent="0.2">
      <c r="B31" s="5"/>
      <c r="C31" s="2"/>
      <c r="D31" s="7"/>
      <c r="G31" s="3">
        <v>29</v>
      </c>
      <c r="H31" s="5">
        <v>5</v>
      </c>
      <c r="I31" s="10">
        <v>7.208618898128428</v>
      </c>
      <c r="J31" s="2">
        <f t="shared" si="5"/>
        <v>2.4028729660428092</v>
      </c>
      <c r="K31" s="2">
        <v>0</v>
      </c>
      <c r="L31" s="2">
        <f t="shared" si="6"/>
        <v>2.4028729660428092</v>
      </c>
      <c r="M31" s="2">
        <v>0</v>
      </c>
      <c r="N31" s="2">
        <f t="shared" si="7"/>
        <v>2.4028729660428092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2:29" ht="18" x14ac:dyDescent="0.2">
      <c r="B32" s="5"/>
      <c r="D32" s="7"/>
      <c r="G32" s="3">
        <v>30</v>
      </c>
      <c r="H32" s="5">
        <v>5.2</v>
      </c>
      <c r="I32" s="10">
        <v>3.7221110187806219</v>
      </c>
      <c r="J32" s="2">
        <f t="shared" si="5"/>
        <v>1.2407036729268739</v>
      </c>
      <c r="K32" s="2">
        <v>0</v>
      </c>
      <c r="L32" s="2">
        <f t="shared" si="6"/>
        <v>1.2407036729268739</v>
      </c>
      <c r="M32" s="2">
        <v>0</v>
      </c>
      <c r="N32" s="2">
        <f t="shared" si="7"/>
        <v>1.2407036729268739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2:29" ht="18" x14ac:dyDescent="0.2">
      <c r="B33" s="5"/>
      <c r="C33" s="2"/>
      <c r="D33" s="7"/>
      <c r="G33" s="3">
        <v>31</v>
      </c>
      <c r="H33" s="5">
        <v>5.4</v>
      </c>
      <c r="I33" s="10">
        <v>5.415350783832964</v>
      </c>
      <c r="J33" s="2">
        <f t="shared" si="5"/>
        <v>1.8051169279443213</v>
      </c>
      <c r="K33" s="2">
        <v>0</v>
      </c>
      <c r="L33" s="2">
        <f t="shared" si="6"/>
        <v>1.8051169279443213</v>
      </c>
      <c r="M33" s="2">
        <v>0</v>
      </c>
      <c r="N33" s="2">
        <f t="shared" si="7"/>
        <v>1.8051169279443213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2:29" ht="18" x14ac:dyDescent="0.2">
      <c r="B34" s="5"/>
      <c r="C34" s="2"/>
      <c r="D34" s="7"/>
      <c r="G34" s="3">
        <v>32</v>
      </c>
      <c r="H34" s="5">
        <v>5.6</v>
      </c>
      <c r="I34" s="10">
        <v>5.2658979322363226</v>
      </c>
      <c r="J34" s="2">
        <f t="shared" si="5"/>
        <v>1.7552993107454409</v>
      </c>
      <c r="K34" s="2">
        <v>0</v>
      </c>
      <c r="L34" s="2">
        <f t="shared" si="6"/>
        <v>1.7552993107454409</v>
      </c>
      <c r="M34" s="2">
        <v>0</v>
      </c>
      <c r="N34" s="2">
        <f t="shared" si="7"/>
        <v>1.7552993107454409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2:29" ht="18" x14ac:dyDescent="0.2">
      <c r="B35" s="5"/>
      <c r="D35" s="7"/>
      <c r="G35" s="3">
        <v>33</v>
      </c>
      <c r="H35" s="5">
        <v>5.8000000000000007</v>
      </c>
      <c r="I35" s="10">
        <v>4.7948283123726307</v>
      </c>
      <c r="J35" s="2">
        <f t="shared" si="5"/>
        <v>1.5982761041242102</v>
      </c>
      <c r="K35" s="2">
        <v>0</v>
      </c>
      <c r="L35" s="2">
        <f t="shared" si="6"/>
        <v>1.5982761041242102</v>
      </c>
      <c r="M35" s="2">
        <v>0</v>
      </c>
      <c r="N35" s="2">
        <f t="shared" si="7"/>
        <v>1.5982761041242102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2:29" ht="18" x14ac:dyDescent="0.2">
      <c r="B36" s="5"/>
      <c r="D36" s="7"/>
      <c r="G36" s="3">
        <v>34</v>
      </c>
      <c r="H36" s="5">
        <v>6</v>
      </c>
      <c r="I36" s="10">
        <v>7.7022825546388116</v>
      </c>
      <c r="J36" s="2">
        <f t="shared" si="5"/>
        <v>2.5674275182129374</v>
      </c>
      <c r="K36" s="2">
        <v>0</v>
      </c>
      <c r="L36" s="2">
        <f t="shared" si="6"/>
        <v>2.5674275182129374</v>
      </c>
      <c r="M36" s="2">
        <v>0</v>
      </c>
      <c r="N36" s="2">
        <f t="shared" si="7"/>
        <v>2.5674275182129374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2:29" ht="18" x14ac:dyDescent="0.2">
      <c r="G37" s="3">
        <v>35</v>
      </c>
      <c r="H37" s="5">
        <v>6.2</v>
      </c>
      <c r="I37" s="10">
        <v>5.9373630038396845</v>
      </c>
      <c r="J37" s="2">
        <f t="shared" si="5"/>
        <v>1.9791210012798948</v>
      </c>
      <c r="K37" s="2">
        <v>0</v>
      </c>
      <c r="L37" s="2">
        <f t="shared" si="6"/>
        <v>1.9791210012798948</v>
      </c>
      <c r="M37" s="2">
        <v>0</v>
      </c>
      <c r="N37" s="2">
        <f t="shared" si="7"/>
        <v>1.9791210012798948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2:29" ht="18" x14ac:dyDescent="0.2">
      <c r="C38" s="2">
        <f>SUM(C2:C36)</f>
        <v>0</v>
      </c>
      <c r="D38" s="2">
        <f>SUM(D2:D36)</f>
        <v>0</v>
      </c>
      <c r="G38" s="3">
        <v>36</v>
      </c>
      <c r="H38" s="5">
        <v>6.4</v>
      </c>
      <c r="I38" s="10">
        <v>5.0856326283238404</v>
      </c>
      <c r="J38" s="2">
        <f t="shared" si="5"/>
        <v>1.6952108761079467</v>
      </c>
      <c r="K38" s="2">
        <v>0</v>
      </c>
      <c r="L38" s="2">
        <f t="shared" si="6"/>
        <v>1.6952108761079467</v>
      </c>
      <c r="M38" s="2">
        <v>0</v>
      </c>
      <c r="N38" s="2">
        <f t="shared" si="7"/>
        <v>1.6952108761079467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2:29" ht="18" x14ac:dyDescent="0.2">
      <c r="G39" s="3">
        <v>37</v>
      </c>
      <c r="H39" s="5">
        <v>6.6</v>
      </c>
      <c r="I39" s="10">
        <v>6.4987341669149741</v>
      </c>
      <c r="J39" s="2">
        <f t="shared" si="5"/>
        <v>2.1662447223049912</v>
      </c>
      <c r="K39" s="2">
        <v>0</v>
      </c>
      <c r="L39" s="2">
        <f t="shared" si="6"/>
        <v>2.1662447223049912</v>
      </c>
      <c r="M39" s="2">
        <v>0</v>
      </c>
      <c r="N39" s="2">
        <f t="shared" si="7"/>
        <v>2.1662447223049912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2:29" ht="18" x14ac:dyDescent="0.2">
      <c r="G40" s="3">
        <v>38</v>
      </c>
      <c r="H40" s="5">
        <v>6.8000000000000007</v>
      </c>
      <c r="I40" s="10">
        <v>5.2008429621581627</v>
      </c>
      <c r="J40" s="2">
        <f t="shared" si="5"/>
        <v>1.7336143207193875</v>
      </c>
      <c r="K40" s="2">
        <v>0</v>
      </c>
      <c r="L40" s="2">
        <f t="shared" si="6"/>
        <v>1.7336143207193875</v>
      </c>
      <c r="M40" s="2">
        <v>0</v>
      </c>
      <c r="N40" s="2">
        <f t="shared" si="7"/>
        <v>1.7336143207193875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2:29" ht="18" x14ac:dyDescent="0.2">
      <c r="G41" s="3">
        <v>39</v>
      </c>
      <c r="H41" s="5">
        <v>7</v>
      </c>
      <c r="I41" s="10">
        <v>1.883235754182627</v>
      </c>
      <c r="J41" s="2">
        <f t="shared" si="5"/>
        <v>0.627745251394209</v>
      </c>
      <c r="K41" s="2">
        <v>0</v>
      </c>
      <c r="L41" s="2">
        <f t="shared" si="6"/>
        <v>0.627745251394209</v>
      </c>
      <c r="M41" s="2">
        <v>0</v>
      </c>
      <c r="N41" s="2">
        <f t="shared" si="7"/>
        <v>0.627745251394209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2:29" ht="18" x14ac:dyDescent="0.2">
      <c r="G42" s="3">
        <v>40</v>
      </c>
      <c r="H42" s="5">
        <v>7.2</v>
      </c>
      <c r="I42" s="10">
        <v>0.72161702808025541</v>
      </c>
      <c r="J42" s="2">
        <f t="shared" si="5"/>
        <v>0.24053900936008513</v>
      </c>
      <c r="K42" s="2">
        <v>0</v>
      </c>
      <c r="L42" s="2">
        <f t="shared" si="6"/>
        <v>0.24053900936008513</v>
      </c>
      <c r="M42" s="2">
        <v>0</v>
      </c>
      <c r="N42" s="2">
        <f t="shared" si="7"/>
        <v>0.24053900936008513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2:29" ht="18" x14ac:dyDescent="0.2">
      <c r="G43" s="3">
        <v>41</v>
      </c>
      <c r="H43" s="5">
        <v>7.4</v>
      </c>
      <c r="I43" s="10">
        <v>3.6177270270270269E-2</v>
      </c>
      <c r="J43" s="2">
        <f t="shared" si="5"/>
        <v>1.205909009009009E-2</v>
      </c>
      <c r="K43" s="2">
        <v>0</v>
      </c>
      <c r="L43" s="2">
        <f t="shared" si="6"/>
        <v>1.205909009009009E-2</v>
      </c>
      <c r="M43" s="2">
        <v>0</v>
      </c>
      <c r="N43" s="2">
        <f t="shared" si="7"/>
        <v>1.205909009009009E-2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2:29" ht="18" x14ac:dyDescent="0.2">
      <c r="G44" s="3">
        <v>42</v>
      </c>
      <c r="H44" s="5">
        <v>7.6000000000000005</v>
      </c>
      <c r="I44" s="10">
        <v>4.6289285714285703E-3</v>
      </c>
      <c r="J44" s="2">
        <f t="shared" si="5"/>
        <v>1.5429761904761901E-3</v>
      </c>
      <c r="K44" s="2">
        <v>0</v>
      </c>
      <c r="L44" s="2">
        <f t="shared" si="6"/>
        <v>1.5429761904761901E-3</v>
      </c>
      <c r="M44" s="2">
        <v>0</v>
      </c>
      <c r="N44" s="2">
        <f t="shared" si="7"/>
        <v>1.5429761904761901E-3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2:29" ht="18" x14ac:dyDescent="0.2">
      <c r="G45" s="3">
        <v>43</v>
      </c>
      <c r="H45" s="5">
        <v>7.8000000000000007</v>
      </c>
      <c r="I45" s="10">
        <v>3.1605000000000001E-3</v>
      </c>
      <c r="J45" s="2">
        <f t="shared" si="5"/>
        <v>1.0535E-3</v>
      </c>
      <c r="K45" s="2">
        <v>0</v>
      </c>
      <c r="L45" s="2">
        <f t="shared" si="6"/>
        <v>1.0535E-3</v>
      </c>
      <c r="M45" s="2">
        <v>0</v>
      </c>
      <c r="N45" s="2">
        <f t="shared" si="7"/>
        <v>1.0535E-3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8" spans="2:29" x14ac:dyDescent="0.2">
      <c r="H48" s="12" t="s">
        <v>34</v>
      </c>
      <c r="I48" s="13">
        <f>SUM(I2:I45)</f>
        <v>100.04294382953401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D409-746A-9041-9B6A-8BFDC3DBBB97}">
  <dimension ref="A1:I915"/>
  <sheetViews>
    <sheetView topLeftCell="A16" workbookViewId="0">
      <selection activeCell="I10" sqref="I10:I31"/>
    </sheetView>
  </sheetViews>
  <sheetFormatPr baseColWidth="10" defaultRowHeight="16" x14ac:dyDescent="0.2"/>
  <cols>
    <col min="3" max="3" width="18.6640625" customWidth="1"/>
    <col min="9" max="9" width="17.1640625" customWidth="1"/>
  </cols>
  <sheetData>
    <row r="1" spans="1:9" x14ac:dyDescent="0.2">
      <c r="A1" s="11">
        <v>2.5119999999999999E-3</v>
      </c>
      <c r="B1" s="11">
        <v>4.7169999999999996</v>
      </c>
      <c r="E1" t="s">
        <v>28</v>
      </c>
      <c r="F1">
        <v>0.2</v>
      </c>
    </row>
    <row r="2" spans="1:9" x14ac:dyDescent="0.2">
      <c r="A2" s="11"/>
      <c r="B2" s="11"/>
      <c r="E2" t="s">
        <v>29</v>
      </c>
      <c r="F2">
        <v>2.4</v>
      </c>
    </row>
    <row r="3" spans="1:9" x14ac:dyDescent="0.2">
      <c r="A3" s="11">
        <v>0.77</v>
      </c>
      <c r="B3" s="11">
        <v>5.5590000000000002</v>
      </c>
    </row>
    <row r="4" spans="1:9" x14ac:dyDescent="0.2">
      <c r="A4" s="11"/>
      <c r="B4" s="11"/>
    </row>
    <row r="5" spans="1:9" x14ac:dyDescent="0.2">
      <c r="A5" s="11">
        <v>1.571</v>
      </c>
      <c r="B5" s="11">
        <v>0.90100000000000002</v>
      </c>
      <c r="E5" t="s">
        <v>0</v>
      </c>
      <c r="F5" t="s">
        <v>30</v>
      </c>
      <c r="G5" t="s">
        <v>31</v>
      </c>
      <c r="I5" t="s">
        <v>36</v>
      </c>
    </row>
    <row r="6" spans="1:9" x14ac:dyDescent="0.2">
      <c r="A6" s="11"/>
      <c r="B6" s="11"/>
    </row>
    <row r="7" spans="1:9" x14ac:dyDescent="0.2">
      <c r="A7" s="11">
        <v>1.649</v>
      </c>
      <c r="B7" s="11">
        <v>0.443</v>
      </c>
      <c r="E7">
        <v>1</v>
      </c>
      <c r="F7">
        <f>F$2+(E7-1)*F$1</f>
        <v>2.4</v>
      </c>
      <c r="G7">
        <f>SUMIFS($B$1:$B$1000,$A$1:$A$1000,"&gt;"&amp;F7,$A$1:$A$1000,"&lt;"&amp;F7+F$1)/COUNTIFS($A$1:$A$1000,"&gt;"&amp;F7,$A$1:$A$1000,"&lt;"&amp;F7+F$1)</f>
        <v>5.5160999999999995E-3</v>
      </c>
      <c r="I7">
        <f>G7*$G$35</f>
        <v>2.7487531248421272E-2</v>
      </c>
    </row>
    <row r="8" spans="1:9" x14ac:dyDescent="0.2">
      <c r="A8" s="11"/>
      <c r="B8" s="11"/>
      <c r="E8">
        <v>2</v>
      </c>
      <c r="F8">
        <f t="shared" ref="F8:F31" si="0">F$2+(E8-1)*F$1</f>
        <v>2.6</v>
      </c>
      <c r="G8">
        <f t="shared" ref="G8:G31" si="1">SUMIFS($B$1:$B$1000,$A$1:$A$1000,"&gt;"&amp;F8,$A$1:$A$1000,"&lt;"&amp;F8+F$1)/COUNTIFS($A$1:$A$1000,"&gt;"&amp;F8,$A$1:$A$1000,"&lt;"&amp;F8+F$1)</f>
        <v>4.9784102564102567E-2</v>
      </c>
      <c r="I8">
        <f t="shared" ref="I8:I31" si="2">G8*$G$35</f>
        <v>0.24808144792613968</v>
      </c>
    </row>
    <row r="9" spans="1:9" x14ac:dyDescent="0.2">
      <c r="A9" s="11">
        <v>2.0990000000000002</v>
      </c>
      <c r="B9" s="11">
        <v>3.5029999999999999E-2</v>
      </c>
      <c r="E9">
        <v>3</v>
      </c>
      <c r="F9">
        <f t="shared" si="0"/>
        <v>2.8</v>
      </c>
      <c r="G9">
        <f t="shared" si="1"/>
        <v>0.40016785714285702</v>
      </c>
      <c r="I9">
        <f t="shared" si="2"/>
        <v>1.99409482747377</v>
      </c>
    </row>
    <row r="10" spans="1:9" x14ac:dyDescent="0.2">
      <c r="A10" s="11"/>
      <c r="B10" s="11"/>
      <c r="E10">
        <v>4</v>
      </c>
      <c r="F10">
        <f t="shared" si="0"/>
        <v>3</v>
      </c>
      <c r="G10">
        <f t="shared" si="1"/>
        <v>0.21029545454545454</v>
      </c>
      <c r="I10">
        <f t="shared" si="2"/>
        <v>1.0479329378037268</v>
      </c>
    </row>
    <row r="11" spans="1:9" x14ac:dyDescent="0.2">
      <c r="A11" s="11">
        <v>2.2210000000000001</v>
      </c>
      <c r="B11" s="11">
        <v>5.7119999999999997E-2</v>
      </c>
      <c r="E11">
        <v>5</v>
      </c>
      <c r="F11">
        <f t="shared" si="0"/>
        <v>3.2</v>
      </c>
      <c r="G11">
        <f t="shared" si="1"/>
        <v>8.0467692307692296E-2</v>
      </c>
      <c r="I11">
        <f t="shared" si="2"/>
        <v>0.40098225318541003</v>
      </c>
    </row>
    <row r="12" spans="1:9" x14ac:dyDescent="0.2">
      <c r="A12" s="11"/>
      <c r="B12" s="11"/>
      <c r="E12">
        <v>6</v>
      </c>
      <c r="F12">
        <f t="shared" si="0"/>
        <v>3.4</v>
      </c>
      <c r="G12">
        <f t="shared" si="1"/>
        <v>2.3210800000000004E-2</v>
      </c>
      <c r="I12">
        <f t="shared" si="2"/>
        <v>0.11566280348450113</v>
      </c>
    </row>
    <row r="13" spans="1:9" x14ac:dyDescent="0.2">
      <c r="A13" s="11">
        <v>2.3450000000000002</v>
      </c>
      <c r="B13" s="11">
        <v>2.163E-2</v>
      </c>
      <c r="E13">
        <v>7</v>
      </c>
      <c r="F13">
        <f t="shared" si="0"/>
        <v>3.6</v>
      </c>
      <c r="G13">
        <f t="shared" si="1"/>
        <v>1.5474545454545456E-2</v>
      </c>
      <c r="I13">
        <f t="shared" si="2"/>
        <v>7.7111918155387621E-2</v>
      </c>
    </row>
    <row r="14" spans="1:9" x14ac:dyDescent="0.2">
      <c r="A14" s="11"/>
      <c r="B14" s="11"/>
      <c r="E14">
        <v>8</v>
      </c>
      <c r="F14">
        <f t="shared" si="0"/>
        <v>3.8</v>
      </c>
      <c r="G14">
        <f t="shared" si="1"/>
        <v>1.1062600000000001E-2</v>
      </c>
      <c r="I14">
        <f t="shared" si="2"/>
        <v>5.5126550133026093E-2</v>
      </c>
    </row>
    <row r="15" spans="1:9" x14ac:dyDescent="0.2">
      <c r="A15" s="11">
        <v>2.3769999999999998</v>
      </c>
      <c r="B15" s="11">
        <v>1.281E-2</v>
      </c>
      <c r="E15">
        <v>9</v>
      </c>
      <c r="F15">
        <f t="shared" si="0"/>
        <v>4</v>
      </c>
      <c r="G15">
        <f t="shared" si="1"/>
        <v>2.5143181818181825E-2</v>
      </c>
      <c r="I15">
        <f t="shared" si="2"/>
        <v>0.12529214407135666</v>
      </c>
    </row>
    <row r="16" spans="1:9" x14ac:dyDescent="0.2">
      <c r="A16" s="11"/>
      <c r="B16" s="11"/>
      <c r="C16" t="s">
        <v>32</v>
      </c>
      <c r="E16">
        <v>10</v>
      </c>
      <c r="F16">
        <f t="shared" si="0"/>
        <v>4.2</v>
      </c>
      <c r="G16">
        <f t="shared" si="1"/>
        <v>9.1821666666666676E-2</v>
      </c>
      <c r="I16">
        <f t="shared" si="2"/>
        <v>0.45756076426861775</v>
      </c>
    </row>
    <row r="17" spans="1:9" x14ac:dyDescent="0.2">
      <c r="A17" s="11">
        <v>2.4239999999999999</v>
      </c>
      <c r="B17" s="11">
        <v>7.5919999999999998E-3</v>
      </c>
      <c r="C17">
        <f>SUM(B1:B17)</f>
        <v>11.754182</v>
      </c>
      <c r="E17">
        <v>11</v>
      </c>
      <c r="F17">
        <f t="shared" si="0"/>
        <v>4.4000000000000004</v>
      </c>
      <c r="G17">
        <f t="shared" si="1"/>
        <v>0.66524571428571433</v>
      </c>
      <c r="I17">
        <f t="shared" si="2"/>
        <v>3.3150164716569503</v>
      </c>
    </row>
    <row r="18" spans="1:9" x14ac:dyDescent="0.2">
      <c r="E18">
        <v>12</v>
      </c>
      <c r="F18">
        <f t="shared" si="0"/>
        <v>4.5999999999999996</v>
      </c>
      <c r="G18">
        <f t="shared" si="1"/>
        <v>2.1584444444444446</v>
      </c>
      <c r="I18">
        <f t="shared" si="2"/>
        <v>10.755843642183422</v>
      </c>
    </row>
    <row r="19" spans="1:9" x14ac:dyDescent="0.2">
      <c r="A19">
        <v>2.4780000000000002</v>
      </c>
      <c r="B19">
        <v>3.1180000000000001E-3</v>
      </c>
      <c r="C19" t="s">
        <v>33</v>
      </c>
      <c r="E19">
        <v>13</v>
      </c>
      <c r="F19">
        <f t="shared" si="0"/>
        <v>4.8000000000000007</v>
      </c>
      <c r="G19">
        <f t="shared" si="1"/>
        <v>2.0447142857142859</v>
      </c>
      <c r="I19">
        <f t="shared" si="2"/>
        <v>10.189109664919929</v>
      </c>
    </row>
    <row r="20" spans="1:9" x14ac:dyDescent="0.2">
      <c r="C20">
        <f>100-C17</f>
        <v>88.245818</v>
      </c>
      <c r="E20">
        <v>14</v>
      </c>
      <c r="F20">
        <f t="shared" si="0"/>
        <v>5</v>
      </c>
      <c r="G20">
        <f t="shared" si="1"/>
        <v>1.4466000000000001</v>
      </c>
      <c r="I20">
        <f t="shared" si="2"/>
        <v>7.208618898128428</v>
      </c>
    </row>
    <row r="21" spans="1:9" x14ac:dyDescent="0.2">
      <c r="A21">
        <v>2.4790000000000001</v>
      </c>
      <c r="B21">
        <v>2.8939999999999999E-3</v>
      </c>
      <c r="E21">
        <v>15</v>
      </c>
      <c r="F21">
        <f t="shared" si="0"/>
        <v>5.2</v>
      </c>
      <c r="G21">
        <f t="shared" si="1"/>
        <v>0.74694000000000005</v>
      </c>
      <c r="I21">
        <f t="shared" si="2"/>
        <v>3.7221110187806219</v>
      </c>
    </row>
    <row r="22" spans="1:9" x14ac:dyDescent="0.2">
      <c r="E22">
        <v>16</v>
      </c>
      <c r="F22">
        <f t="shared" si="0"/>
        <v>5.4</v>
      </c>
      <c r="G22">
        <f t="shared" si="1"/>
        <v>1.0867333333333333</v>
      </c>
      <c r="I22">
        <f t="shared" si="2"/>
        <v>5.415350783832964</v>
      </c>
    </row>
    <row r="23" spans="1:9" x14ac:dyDescent="0.2">
      <c r="A23">
        <v>2.4790000000000001</v>
      </c>
      <c r="B23">
        <v>2.7200000000000002E-3</v>
      </c>
      <c r="E23">
        <v>17</v>
      </c>
      <c r="F23">
        <f t="shared" si="0"/>
        <v>5.6</v>
      </c>
      <c r="G23">
        <f t="shared" si="1"/>
        <v>1.0567416666666667</v>
      </c>
      <c r="I23">
        <f t="shared" si="2"/>
        <v>5.2658979322363226</v>
      </c>
    </row>
    <row r="24" spans="1:9" x14ac:dyDescent="0.2">
      <c r="E24">
        <v>18</v>
      </c>
      <c r="F24">
        <f t="shared" si="0"/>
        <v>5.8000000000000007</v>
      </c>
      <c r="G24">
        <f t="shared" si="1"/>
        <v>0.96220909090909101</v>
      </c>
      <c r="I24">
        <f t="shared" si="2"/>
        <v>4.7948283123726307</v>
      </c>
    </row>
    <row r="25" spans="1:9" x14ac:dyDescent="0.2">
      <c r="A25">
        <v>2.488</v>
      </c>
      <c r="B25">
        <v>3.388E-3</v>
      </c>
      <c r="E25">
        <v>19</v>
      </c>
      <c r="F25">
        <f t="shared" si="0"/>
        <v>6</v>
      </c>
      <c r="G25">
        <f t="shared" si="1"/>
        <v>1.5456666666666665</v>
      </c>
      <c r="I25">
        <f t="shared" si="2"/>
        <v>7.7022825546388116</v>
      </c>
    </row>
    <row r="26" spans="1:9" x14ac:dyDescent="0.2">
      <c r="E26">
        <v>20</v>
      </c>
      <c r="F26">
        <f t="shared" si="0"/>
        <v>6.2</v>
      </c>
      <c r="G26">
        <f t="shared" si="1"/>
        <v>1.191488888888889</v>
      </c>
      <c r="I26">
        <f t="shared" si="2"/>
        <v>5.9373630038396845</v>
      </c>
    </row>
    <row r="27" spans="1:9" x14ac:dyDescent="0.2">
      <c r="A27">
        <v>2.5190000000000001</v>
      </c>
      <c r="B27">
        <v>3.4459999999999998E-3</v>
      </c>
      <c r="E27">
        <v>21</v>
      </c>
      <c r="F27">
        <f t="shared" si="0"/>
        <v>6.4</v>
      </c>
      <c r="G27">
        <f t="shared" si="1"/>
        <v>1.0205666666666666</v>
      </c>
      <c r="I27">
        <f t="shared" si="2"/>
        <v>5.0856326283238404</v>
      </c>
    </row>
    <row r="28" spans="1:9" x14ac:dyDescent="0.2">
      <c r="E28">
        <v>22</v>
      </c>
      <c r="F28">
        <f t="shared" si="0"/>
        <v>6.6</v>
      </c>
      <c r="G28">
        <f t="shared" si="1"/>
        <v>1.304142857142857</v>
      </c>
      <c r="I28">
        <f t="shared" si="2"/>
        <v>6.4987341669149741</v>
      </c>
    </row>
    <row r="29" spans="1:9" x14ac:dyDescent="0.2">
      <c r="A29">
        <v>2.524</v>
      </c>
      <c r="B29">
        <v>4.3099999999999996E-3</v>
      </c>
      <c r="E29">
        <v>23</v>
      </c>
      <c r="F29">
        <f t="shared" si="0"/>
        <v>6.8000000000000007</v>
      </c>
      <c r="G29">
        <f t="shared" si="1"/>
        <v>1.0436866666666667</v>
      </c>
      <c r="I29">
        <f t="shared" si="2"/>
        <v>5.2008429621581627</v>
      </c>
    </row>
    <row r="30" spans="1:9" x14ac:dyDescent="0.2">
      <c r="E30">
        <v>24</v>
      </c>
      <c r="F30">
        <f t="shared" si="0"/>
        <v>7</v>
      </c>
      <c r="G30">
        <f t="shared" si="1"/>
        <v>0.37792105263157899</v>
      </c>
      <c r="I30">
        <f t="shared" si="2"/>
        <v>1.883235754182627</v>
      </c>
    </row>
    <row r="31" spans="1:9" x14ac:dyDescent="0.2">
      <c r="A31">
        <v>2.524</v>
      </c>
      <c r="B31">
        <v>4.0000000000000001E-3</v>
      </c>
      <c r="E31">
        <v>25</v>
      </c>
      <c r="F31">
        <f t="shared" si="0"/>
        <v>7.2000000000000011</v>
      </c>
      <c r="G31">
        <f t="shared" si="1"/>
        <v>0.14481153846153844</v>
      </c>
      <c r="I31">
        <f t="shared" si="2"/>
        <v>0.72161702808025541</v>
      </c>
    </row>
    <row r="33" spans="1:8" x14ac:dyDescent="0.2">
      <c r="A33">
        <v>2.524</v>
      </c>
      <c r="B33">
        <v>3.7130000000000002E-3</v>
      </c>
      <c r="G33">
        <f>SUM(G7:G31)</f>
        <v>17.708856872977904</v>
      </c>
      <c r="H33" t="s">
        <v>34</v>
      </c>
    </row>
    <row r="35" spans="1:8" x14ac:dyDescent="0.2">
      <c r="A35">
        <v>2.5289999999999999</v>
      </c>
      <c r="B35">
        <v>4.6820000000000004E-3</v>
      </c>
      <c r="G35">
        <f>C20/G33</f>
        <v>4.9831459270900229</v>
      </c>
      <c r="H35" t="s">
        <v>35</v>
      </c>
    </row>
    <row r="37" spans="1:8" x14ac:dyDescent="0.2">
      <c r="A37">
        <v>2.5590000000000002</v>
      </c>
      <c r="B37">
        <v>6.7429999999999999E-3</v>
      </c>
    </row>
    <row r="39" spans="1:8" x14ac:dyDescent="0.2">
      <c r="A39">
        <v>2.5590000000000002</v>
      </c>
      <c r="B39">
        <v>6.2589999999999998E-3</v>
      </c>
    </row>
    <row r="41" spans="1:8" x14ac:dyDescent="0.2">
      <c r="A41">
        <v>2.5590000000000002</v>
      </c>
      <c r="B41">
        <v>5.8089999999999999E-3</v>
      </c>
    </row>
    <row r="43" spans="1:8" x14ac:dyDescent="0.2">
      <c r="A43">
        <v>2.5609999999999999</v>
      </c>
      <c r="B43">
        <v>4.8589999999999996E-3</v>
      </c>
    </row>
    <row r="45" spans="1:8" x14ac:dyDescent="0.2">
      <c r="A45">
        <v>2.5640000000000001</v>
      </c>
      <c r="B45">
        <v>5.3930000000000002E-3</v>
      </c>
    </row>
    <row r="47" spans="1:8" x14ac:dyDescent="0.2">
      <c r="A47">
        <v>2.569</v>
      </c>
      <c r="B47">
        <v>7.326E-3</v>
      </c>
    </row>
    <row r="49" spans="1:2" x14ac:dyDescent="0.2">
      <c r="A49">
        <v>2.5960000000000001</v>
      </c>
      <c r="B49">
        <v>7.4209999999999996E-3</v>
      </c>
    </row>
    <row r="51" spans="1:2" x14ac:dyDescent="0.2">
      <c r="A51">
        <v>2.5990000000000002</v>
      </c>
      <c r="B51">
        <v>9.5519999999999997E-3</v>
      </c>
    </row>
    <row r="53" spans="1:2" x14ac:dyDescent="0.2">
      <c r="A53">
        <v>2.5990000000000002</v>
      </c>
      <c r="B53">
        <v>8.8669999999999999E-3</v>
      </c>
    </row>
    <row r="55" spans="1:2" x14ac:dyDescent="0.2">
      <c r="A55">
        <v>2.5990000000000002</v>
      </c>
      <c r="B55">
        <v>8.2299999999999995E-3</v>
      </c>
    </row>
    <row r="57" spans="1:2" x14ac:dyDescent="0.2">
      <c r="A57">
        <v>2.609</v>
      </c>
      <c r="B57">
        <v>1.0290000000000001E-2</v>
      </c>
    </row>
    <row r="59" spans="1:2" x14ac:dyDescent="0.2">
      <c r="A59">
        <v>2.6339999999999999</v>
      </c>
      <c r="B59">
        <v>1.0489999999999999E-2</v>
      </c>
    </row>
    <row r="61" spans="1:2" x14ac:dyDescent="0.2">
      <c r="A61">
        <v>2.6389999999999998</v>
      </c>
      <c r="B61">
        <v>1.342E-2</v>
      </c>
    </row>
    <row r="63" spans="1:2" x14ac:dyDescent="0.2">
      <c r="A63">
        <v>2.6389999999999998</v>
      </c>
      <c r="B63">
        <v>1.225E-2</v>
      </c>
    </row>
    <row r="65" spans="1:2" x14ac:dyDescent="0.2">
      <c r="A65">
        <v>2.6389999999999998</v>
      </c>
      <c r="B65">
        <v>1.137E-2</v>
      </c>
    </row>
    <row r="67" spans="1:2" x14ac:dyDescent="0.2">
      <c r="A67">
        <v>2.669</v>
      </c>
      <c r="B67">
        <v>1.3650000000000001E-2</v>
      </c>
    </row>
    <row r="69" spans="1:2" x14ac:dyDescent="0.2">
      <c r="A69">
        <v>2.6789999999999998</v>
      </c>
      <c r="B69">
        <v>1.736E-2</v>
      </c>
    </row>
    <row r="71" spans="1:2" x14ac:dyDescent="0.2">
      <c r="A71">
        <v>2.6789999999999998</v>
      </c>
      <c r="B71">
        <v>1.6109999999999999E-2</v>
      </c>
    </row>
    <row r="73" spans="1:2" x14ac:dyDescent="0.2">
      <c r="A73">
        <v>2.6789999999999998</v>
      </c>
      <c r="B73">
        <v>1.4959999999999999E-2</v>
      </c>
    </row>
    <row r="75" spans="1:2" x14ac:dyDescent="0.2">
      <c r="A75">
        <v>2.6890000000000001</v>
      </c>
      <c r="B75">
        <v>1.8859999999999998E-2</v>
      </c>
    </row>
    <row r="77" spans="1:2" x14ac:dyDescent="0.2">
      <c r="A77">
        <v>2.7149999999999999</v>
      </c>
      <c r="B77">
        <v>1.8950000000000002E-2</v>
      </c>
    </row>
    <row r="79" spans="1:2" x14ac:dyDescent="0.2">
      <c r="A79">
        <v>2.7189999999999999</v>
      </c>
      <c r="B79">
        <v>2.9260000000000001E-2</v>
      </c>
    </row>
    <row r="81" spans="1:2" x14ac:dyDescent="0.2">
      <c r="A81">
        <v>2.7189999999999999</v>
      </c>
      <c r="B81">
        <v>2.716E-2</v>
      </c>
    </row>
    <row r="83" spans="1:2" x14ac:dyDescent="0.2">
      <c r="A83">
        <v>2.7189999999999999</v>
      </c>
      <c r="B83">
        <v>2.521E-2</v>
      </c>
    </row>
    <row r="85" spans="1:2" x14ac:dyDescent="0.2">
      <c r="A85">
        <v>2.7189999999999999</v>
      </c>
      <c r="B85">
        <v>2.3400000000000001E-2</v>
      </c>
    </row>
    <row r="87" spans="1:2" x14ac:dyDescent="0.2">
      <c r="A87">
        <v>2.72</v>
      </c>
      <c r="B87">
        <v>2.172E-2</v>
      </c>
    </row>
    <row r="89" spans="1:2" x14ac:dyDescent="0.2">
      <c r="A89">
        <v>2.72</v>
      </c>
      <c r="B89">
        <v>2.0160000000000001E-2</v>
      </c>
    </row>
    <row r="91" spans="1:2" x14ac:dyDescent="0.2">
      <c r="A91">
        <v>2.7290000000000001</v>
      </c>
      <c r="B91">
        <v>3.2059999999999998E-2</v>
      </c>
    </row>
    <row r="93" spans="1:2" x14ac:dyDescent="0.2">
      <c r="A93">
        <v>2.7530000000000001</v>
      </c>
      <c r="B93">
        <v>6.1670000000000003E-2</v>
      </c>
    </row>
    <row r="95" spans="1:2" x14ac:dyDescent="0.2">
      <c r="A95">
        <v>2.754</v>
      </c>
      <c r="B95">
        <v>5.7250000000000002E-2</v>
      </c>
    </row>
    <row r="97" spans="1:2" x14ac:dyDescent="0.2">
      <c r="A97">
        <v>2.754</v>
      </c>
      <c r="B97">
        <v>5.314E-2</v>
      </c>
    </row>
    <row r="99" spans="1:2" x14ac:dyDescent="0.2">
      <c r="A99">
        <v>2.754</v>
      </c>
      <c r="B99">
        <v>4.9320000000000003E-2</v>
      </c>
    </row>
    <row r="101" spans="1:2" x14ac:dyDescent="0.2">
      <c r="A101">
        <v>2.754</v>
      </c>
      <c r="B101">
        <v>4.5780000000000001E-2</v>
      </c>
    </row>
    <row r="103" spans="1:2" x14ac:dyDescent="0.2">
      <c r="A103">
        <v>2.754</v>
      </c>
      <c r="B103">
        <v>4.2500000000000003E-2</v>
      </c>
    </row>
    <row r="105" spans="1:2" x14ac:dyDescent="0.2">
      <c r="A105">
        <v>2.754</v>
      </c>
      <c r="B105">
        <v>3.9449999999999999E-2</v>
      </c>
    </row>
    <row r="107" spans="1:2" x14ac:dyDescent="0.2">
      <c r="A107">
        <v>2.7559999999999998</v>
      </c>
      <c r="B107">
        <v>3.288E-2</v>
      </c>
    </row>
    <row r="109" spans="1:2" x14ac:dyDescent="0.2">
      <c r="A109">
        <v>2.758</v>
      </c>
      <c r="B109">
        <v>6.7000000000000004E-2</v>
      </c>
    </row>
    <row r="111" spans="1:2" x14ac:dyDescent="0.2">
      <c r="A111">
        <v>2.7589999999999999</v>
      </c>
      <c r="B111">
        <v>3.662E-2</v>
      </c>
    </row>
    <row r="113" spans="1:2" x14ac:dyDescent="0.2">
      <c r="A113">
        <v>2.7890000000000001</v>
      </c>
      <c r="B113">
        <v>6.8729999999999999E-2</v>
      </c>
    </row>
    <row r="115" spans="1:2" x14ac:dyDescent="0.2">
      <c r="A115">
        <v>2.798</v>
      </c>
      <c r="B115">
        <v>0.14360000000000001</v>
      </c>
    </row>
    <row r="117" spans="1:2" x14ac:dyDescent="0.2">
      <c r="A117">
        <v>2.798</v>
      </c>
      <c r="B117">
        <v>0.1333</v>
      </c>
    </row>
    <row r="119" spans="1:2" x14ac:dyDescent="0.2">
      <c r="A119">
        <v>2.798</v>
      </c>
      <c r="B119">
        <v>0.1237</v>
      </c>
    </row>
    <row r="121" spans="1:2" x14ac:dyDescent="0.2">
      <c r="A121">
        <v>2.798</v>
      </c>
      <c r="B121">
        <v>0.1148</v>
      </c>
    </row>
    <row r="123" spans="1:2" x14ac:dyDescent="0.2">
      <c r="A123">
        <v>2.798</v>
      </c>
      <c r="B123">
        <v>0.1066</v>
      </c>
    </row>
    <row r="125" spans="1:2" x14ac:dyDescent="0.2">
      <c r="A125">
        <v>2.798</v>
      </c>
      <c r="B125">
        <v>9.8930000000000004E-2</v>
      </c>
    </row>
    <row r="127" spans="1:2" x14ac:dyDescent="0.2">
      <c r="A127">
        <v>2.7989999999999999</v>
      </c>
      <c r="B127">
        <v>9.1829999999999995E-2</v>
      </c>
    </row>
    <row r="129" spans="1:2" x14ac:dyDescent="0.2">
      <c r="A129">
        <v>2.7989999999999999</v>
      </c>
      <c r="B129">
        <v>8.5239999999999996E-2</v>
      </c>
    </row>
    <row r="131" spans="1:2" x14ac:dyDescent="0.2">
      <c r="A131">
        <v>2.7989999999999999</v>
      </c>
      <c r="B131">
        <v>7.9119999999999996E-2</v>
      </c>
    </row>
    <row r="133" spans="1:2" x14ac:dyDescent="0.2">
      <c r="A133">
        <v>2.7989999999999999</v>
      </c>
      <c r="B133">
        <v>7.3440000000000005E-2</v>
      </c>
    </row>
    <row r="135" spans="1:2" x14ac:dyDescent="0.2">
      <c r="A135">
        <v>2.8079999999999998</v>
      </c>
      <c r="B135">
        <v>0.156</v>
      </c>
    </row>
    <row r="137" spans="1:2" x14ac:dyDescent="0.2">
      <c r="A137">
        <v>2.8319999999999999</v>
      </c>
      <c r="B137">
        <v>0.29520000000000002</v>
      </c>
    </row>
    <row r="139" spans="1:2" x14ac:dyDescent="0.2">
      <c r="A139">
        <v>2.8319999999999999</v>
      </c>
      <c r="B139">
        <v>0.27400000000000002</v>
      </c>
    </row>
    <row r="141" spans="1:2" x14ac:dyDescent="0.2">
      <c r="A141">
        <v>2.8330000000000002</v>
      </c>
      <c r="B141">
        <v>0.25430000000000003</v>
      </c>
    </row>
    <row r="143" spans="1:2" x14ac:dyDescent="0.2">
      <c r="A143">
        <v>2.8330000000000002</v>
      </c>
      <c r="B143">
        <v>0.2361</v>
      </c>
    </row>
    <row r="145" spans="1:2" x14ac:dyDescent="0.2">
      <c r="A145">
        <v>2.8330000000000002</v>
      </c>
      <c r="B145">
        <v>0.21909999999999999</v>
      </c>
    </row>
    <row r="147" spans="1:2" x14ac:dyDescent="0.2">
      <c r="A147">
        <v>2.8330000000000002</v>
      </c>
      <c r="B147">
        <v>0.2034</v>
      </c>
    </row>
    <row r="149" spans="1:2" x14ac:dyDescent="0.2">
      <c r="A149">
        <v>2.8330000000000002</v>
      </c>
      <c r="B149">
        <v>0.1888</v>
      </c>
    </row>
    <row r="151" spans="1:2" x14ac:dyDescent="0.2">
      <c r="A151">
        <v>2.8330000000000002</v>
      </c>
      <c r="B151">
        <v>0.17519999999999999</v>
      </c>
    </row>
    <row r="153" spans="1:2" x14ac:dyDescent="0.2">
      <c r="A153">
        <v>2.8330000000000002</v>
      </c>
      <c r="B153">
        <v>0.15770000000000001</v>
      </c>
    </row>
    <row r="155" spans="1:2" x14ac:dyDescent="0.2">
      <c r="A155">
        <v>2.8370000000000002</v>
      </c>
      <c r="B155">
        <v>0.32600000000000001</v>
      </c>
    </row>
    <row r="157" spans="1:2" x14ac:dyDescent="0.2">
      <c r="A157">
        <v>2.87</v>
      </c>
      <c r="B157">
        <v>0.34110000000000001</v>
      </c>
    </row>
    <row r="159" spans="1:2" x14ac:dyDescent="0.2">
      <c r="A159">
        <v>2.8719999999999999</v>
      </c>
      <c r="B159">
        <v>0.5101</v>
      </c>
    </row>
    <row r="161" spans="1:2" x14ac:dyDescent="0.2">
      <c r="A161">
        <v>2.8719999999999999</v>
      </c>
      <c r="B161">
        <v>0.47349999999999998</v>
      </c>
    </row>
    <row r="163" spans="1:2" x14ac:dyDescent="0.2">
      <c r="A163">
        <v>2.8719999999999999</v>
      </c>
      <c r="B163">
        <v>0.4395</v>
      </c>
    </row>
    <row r="165" spans="1:2" x14ac:dyDescent="0.2">
      <c r="A165">
        <v>2.8719999999999999</v>
      </c>
      <c r="B165">
        <v>0.40789999999999998</v>
      </c>
    </row>
    <row r="167" spans="1:2" x14ac:dyDescent="0.2">
      <c r="A167">
        <v>2.8730000000000002</v>
      </c>
      <c r="B167">
        <v>0.37859999999999999</v>
      </c>
    </row>
    <row r="169" spans="1:2" x14ac:dyDescent="0.2">
      <c r="A169">
        <v>2.8769999999999998</v>
      </c>
      <c r="B169">
        <v>0.55410000000000004</v>
      </c>
    </row>
    <row r="171" spans="1:2" x14ac:dyDescent="0.2">
      <c r="A171">
        <v>2.9079999999999999</v>
      </c>
      <c r="B171">
        <v>0.57069999999999999</v>
      </c>
    </row>
    <row r="173" spans="1:2" x14ac:dyDescent="0.2">
      <c r="A173">
        <v>2.9129999999999998</v>
      </c>
      <c r="B173">
        <v>0.6149</v>
      </c>
    </row>
    <row r="175" spans="1:2" x14ac:dyDescent="0.2">
      <c r="A175">
        <v>2.9180000000000001</v>
      </c>
      <c r="B175">
        <v>0.6653</v>
      </c>
    </row>
    <row r="177" spans="1:2" x14ac:dyDescent="0.2">
      <c r="A177">
        <v>2.948</v>
      </c>
      <c r="B177">
        <v>0.66569999999999996</v>
      </c>
    </row>
    <row r="179" spans="1:2" x14ac:dyDescent="0.2">
      <c r="A179">
        <v>2.9580000000000002</v>
      </c>
      <c r="B179">
        <v>0.60040000000000004</v>
      </c>
    </row>
    <row r="181" spans="1:2" x14ac:dyDescent="0.2">
      <c r="A181">
        <v>2.9889999999999999</v>
      </c>
      <c r="B181">
        <v>0.58109999999999995</v>
      </c>
    </row>
    <row r="183" spans="1:2" x14ac:dyDescent="0.2">
      <c r="A183">
        <v>2.9940000000000002</v>
      </c>
      <c r="B183">
        <v>0.5373</v>
      </c>
    </row>
    <row r="185" spans="1:2" x14ac:dyDescent="0.2">
      <c r="A185">
        <v>2.9940000000000002</v>
      </c>
      <c r="B185">
        <v>0.49869999999999998</v>
      </c>
    </row>
    <row r="187" spans="1:2" x14ac:dyDescent="0.2">
      <c r="A187">
        <v>2.9940000000000002</v>
      </c>
      <c r="B187">
        <v>0.46289999999999998</v>
      </c>
    </row>
    <row r="189" spans="1:2" x14ac:dyDescent="0.2">
      <c r="A189">
        <v>2.9980000000000002</v>
      </c>
      <c r="B189">
        <v>0.41710000000000003</v>
      </c>
    </row>
    <row r="191" spans="1:2" x14ac:dyDescent="0.2">
      <c r="A191">
        <v>3.03</v>
      </c>
      <c r="B191">
        <v>0.40239999999999998</v>
      </c>
    </row>
    <row r="193" spans="1:2" x14ac:dyDescent="0.2">
      <c r="A193">
        <v>3.036</v>
      </c>
      <c r="B193">
        <v>0.3705</v>
      </c>
    </row>
    <row r="195" spans="1:2" x14ac:dyDescent="0.2">
      <c r="A195">
        <v>3.036</v>
      </c>
      <c r="B195">
        <v>0.34389999999999998</v>
      </c>
    </row>
    <row r="197" spans="1:2" x14ac:dyDescent="0.2">
      <c r="A197">
        <v>3.036</v>
      </c>
      <c r="B197">
        <v>0.31919999999999998</v>
      </c>
    </row>
    <row r="199" spans="1:2" x14ac:dyDescent="0.2">
      <c r="A199">
        <v>3.036</v>
      </c>
      <c r="B199">
        <v>0.29630000000000001</v>
      </c>
    </row>
    <row r="201" spans="1:2" x14ac:dyDescent="0.2">
      <c r="A201">
        <v>3.036</v>
      </c>
      <c r="B201">
        <v>0.27500000000000002</v>
      </c>
    </row>
    <row r="203" spans="1:2" x14ac:dyDescent="0.2">
      <c r="A203">
        <v>3.0409999999999999</v>
      </c>
      <c r="B203">
        <v>0.25109999999999999</v>
      </c>
    </row>
    <row r="205" spans="1:2" x14ac:dyDescent="0.2">
      <c r="A205">
        <v>3.0670000000000002</v>
      </c>
      <c r="B205">
        <v>0.24610000000000001</v>
      </c>
    </row>
    <row r="207" spans="1:2" x14ac:dyDescent="0.2">
      <c r="A207">
        <v>3.0720000000000001</v>
      </c>
      <c r="B207">
        <v>0.22559999999999999</v>
      </c>
    </row>
    <row r="209" spans="1:2" x14ac:dyDescent="0.2">
      <c r="A209">
        <v>3.0720000000000001</v>
      </c>
      <c r="B209">
        <v>0.2094</v>
      </c>
    </row>
    <row r="211" spans="1:2" x14ac:dyDescent="0.2">
      <c r="A211">
        <v>3.0720000000000001</v>
      </c>
      <c r="B211">
        <v>0.19439999999999999</v>
      </c>
    </row>
    <row r="213" spans="1:2" x14ac:dyDescent="0.2">
      <c r="A213">
        <v>3.0720000000000001</v>
      </c>
      <c r="B213">
        <v>0.18049999999999999</v>
      </c>
    </row>
    <row r="215" spans="1:2" x14ac:dyDescent="0.2">
      <c r="A215">
        <v>3.073</v>
      </c>
      <c r="B215">
        <v>0.16750000000000001</v>
      </c>
    </row>
    <row r="217" spans="1:2" x14ac:dyDescent="0.2">
      <c r="A217">
        <v>3.0830000000000002</v>
      </c>
      <c r="B217">
        <v>0.1575</v>
      </c>
    </row>
    <row r="219" spans="1:2" x14ac:dyDescent="0.2">
      <c r="A219">
        <v>3.113</v>
      </c>
      <c r="B219">
        <v>0.155</v>
      </c>
    </row>
    <row r="221" spans="1:2" x14ac:dyDescent="0.2">
      <c r="A221">
        <v>3.1139999999999999</v>
      </c>
      <c r="B221">
        <v>0.1244</v>
      </c>
    </row>
    <row r="223" spans="1:2" x14ac:dyDescent="0.2">
      <c r="A223">
        <v>3.1190000000000002</v>
      </c>
      <c r="B223">
        <v>0.14269999999999999</v>
      </c>
    </row>
    <row r="225" spans="1:2" x14ac:dyDescent="0.2">
      <c r="A225">
        <v>3.1190000000000002</v>
      </c>
      <c r="B225">
        <v>0.13320000000000001</v>
      </c>
    </row>
    <row r="227" spans="1:2" x14ac:dyDescent="0.2">
      <c r="A227">
        <v>3.1240000000000001</v>
      </c>
      <c r="B227">
        <v>0.11550000000000001</v>
      </c>
    </row>
    <row r="229" spans="1:2" x14ac:dyDescent="0.2">
      <c r="A229">
        <v>3.15</v>
      </c>
      <c r="B229">
        <v>0.1135</v>
      </c>
    </row>
    <row r="231" spans="1:2" x14ac:dyDescent="0.2">
      <c r="A231">
        <v>3.1619999999999999</v>
      </c>
      <c r="B231">
        <v>0.10150000000000001</v>
      </c>
    </row>
    <row r="233" spans="1:2" x14ac:dyDescent="0.2">
      <c r="A233">
        <v>3.1960000000000002</v>
      </c>
      <c r="B233">
        <v>0.1013</v>
      </c>
    </row>
    <row r="235" spans="1:2" x14ac:dyDescent="0.2">
      <c r="A235">
        <v>3.226</v>
      </c>
      <c r="B235">
        <v>0.1031</v>
      </c>
    </row>
    <row r="237" spans="1:2" x14ac:dyDescent="0.2">
      <c r="A237">
        <v>3.2570000000000001</v>
      </c>
      <c r="B237">
        <v>0.1066</v>
      </c>
    </row>
    <row r="239" spans="1:2" x14ac:dyDescent="0.2">
      <c r="A239">
        <v>3.2869999999999999</v>
      </c>
      <c r="B239">
        <v>0.1032</v>
      </c>
    </row>
    <row r="241" spans="1:2" x14ac:dyDescent="0.2">
      <c r="A241">
        <v>3.3130000000000002</v>
      </c>
      <c r="B241">
        <v>0.10050000000000001</v>
      </c>
    </row>
    <row r="243" spans="1:2" x14ac:dyDescent="0.2">
      <c r="A243">
        <v>3.3180000000000001</v>
      </c>
      <c r="B243">
        <v>9.2730000000000007E-2</v>
      </c>
    </row>
    <row r="245" spans="1:2" x14ac:dyDescent="0.2">
      <c r="A245">
        <v>3.3260000000000001</v>
      </c>
      <c r="B245">
        <v>8.294E-2</v>
      </c>
    </row>
    <row r="247" spans="1:2" x14ac:dyDescent="0.2">
      <c r="A247">
        <v>3.3540000000000001</v>
      </c>
      <c r="B247">
        <v>7.9949999999999993E-2</v>
      </c>
    </row>
    <row r="249" spans="1:2" x14ac:dyDescent="0.2">
      <c r="A249">
        <v>3.3540000000000001</v>
      </c>
      <c r="B249">
        <v>7.4209999999999998E-2</v>
      </c>
    </row>
    <row r="251" spans="1:2" x14ac:dyDescent="0.2">
      <c r="A251">
        <v>3.3540000000000001</v>
      </c>
      <c r="B251">
        <v>6.8879999999999997E-2</v>
      </c>
    </row>
    <row r="253" spans="1:2" x14ac:dyDescent="0.2">
      <c r="A253">
        <v>3.3540000000000001</v>
      </c>
      <c r="B253">
        <v>6.3939999999999997E-2</v>
      </c>
    </row>
    <row r="255" spans="1:2" x14ac:dyDescent="0.2">
      <c r="A255">
        <v>3.3540000000000001</v>
      </c>
      <c r="B255">
        <v>5.935E-2</v>
      </c>
    </row>
    <row r="257" spans="1:2" x14ac:dyDescent="0.2">
      <c r="A257">
        <v>3.36</v>
      </c>
      <c r="B257">
        <v>5.5550000000000002E-2</v>
      </c>
    </row>
    <row r="259" spans="1:2" x14ac:dyDescent="0.2">
      <c r="A259">
        <v>3.39</v>
      </c>
      <c r="B259">
        <v>5.5129999999999998E-2</v>
      </c>
    </row>
    <row r="261" spans="1:2" x14ac:dyDescent="0.2">
      <c r="A261">
        <v>3.4</v>
      </c>
      <c r="B261">
        <v>5.1180000000000003E-2</v>
      </c>
    </row>
    <row r="263" spans="1:2" x14ac:dyDescent="0.2">
      <c r="A263">
        <v>3.4009999999999998</v>
      </c>
      <c r="B263">
        <v>4.7509999999999997E-2</v>
      </c>
    </row>
    <row r="265" spans="1:2" x14ac:dyDescent="0.2">
      <c r="A265">
        <v>3.4009999999999998</v>
      </c>
      <c r="B265">
        <v>4.41E-2</v>
      </c>
    </row>
    <row r="267" spans="1:2" x14ac:dyDescent="0.2">
      <c r="A267">
        <v>3.4009999999999998</v>
      </c>
      <c r="B267">
        <v>4.0930000000000001E-2</v>
      </c>
    </row>
    <row r="269" spans="1:2" x14ac:dyDescent="0.2">
      <c r="A269">
        <v>3.4009999999999998</v>
      </c>
      <c r="B269">
        <v>3.7990000000000003E-2</v>
      </c>
    </row>
    <row r="271" spans="1:2" x14ac:dyDescent="0.2">
      <c r="A271">
        <v>3.4009999999999998</v>
      </c>
      <c r="B271">
        <v>3.5270000000000003E-2</v>
      </c>
    </row>
    <row r="273" spans="1:2" x14ac:dyDescent="0.2">
      <c r="A273">
        <v>3.411</v>
      </c>
      <c r="B273">
        <v>3.288E-2</v>
      </c>
    </row>
    <row r="275" spans="1:2" x14ac:dyDescent="0.2">
      <c r="A275">
        <v>3.4369999999999998</v>
      </c>
      <c r="B275">
        <v>2.8930000000000001E-2</v>
      </c>
    </row>
    <row r="277" spans="1:2" x14ac:dyDescent="0.2">
      <c r="A277">
        <v>3.4369999999999998</v>
      </c>
      <c r="B277">
        <v>2.6859999999999998E-2</v>
      </c>
    </row>
    <row r="279" spans="1:2" x14ac:dyDescent="0.2">
      <c r="A279">
        <v>3.4369999999999998</v>
      </c>
      <c r="B279">
        <v>2.4930000000000001E-2</v>
      </c>
    </row>
    <row r="281" spans="1:2" x14ac:dyDescent="0.2">
      <c r="A281">
        <v>3.4369999999999998</v>
      </c>
      <c r="B281">
        <v>2.3140000000000001E-2</v>
      </c>
    </row>
    <row r="283" spans="1:2" x14ac:dyDescent="0.2">
      <c r="A283">
        <v>3.4369999999999998</v>
      </c>
      <c r="B283">
        <v>2.1479999999999999E-2</v>
      </c>
    </row>
    <row r="285" spans="1:2" x14ac:dyDescent="0.2">
      <c r="A285">
        <v>3.4390000000000001</v>
      </c>
      <c r="B285">
        <v>3.1690000000000003E-2</v>
      </c>
    </row>
    <row r="287" spans="1:2" x14ac:dyDescent="0.2">
      <c r="A287">
        <v>3.44</v>
      </c>
      <c r="B287">
        <v>1.9810000000000001E-2</v>
      </c>
    </row>
    <row r="289" spans="1:2" x14ac:dyDescent="0.2">
      <c r="A289">
        <v>3.4729999999999999</v>
      </c>
      <c r="B289">
        <v>1.9539999999999998E-2</v>
      </c>
    </row>
    <row r="291" spans="1:2" x14ac:dyDescent="0.2">
      <c r="A291">
        <v>3.4780000000000002</v>
      </c>
      <c r="B291">
        <v>1.8069999999999999E-2</v>
      </c>
    </row>
    <row r="293" spans="1:2" x14ac:dyDescent="0.2">
      <c r="A293">
        <v>3.4790000000000001</v>
      </c>
      <c r="B293">
        <v>1.677E-2</v>
      </c>
    </row>
    <row r="295" spans="1:2" x14ac:dyDescent="0.2">
      <c r="A295">
        <v>3.4790000000000001</v>
      </c>
      <c r="B295">
        <v>1.5559999999999999E-2</v>
      </c>
    </row>
    <row r="297" spans="1:2" x14ac:dyDescent="0.2">
      <c r="A297">
        <v>3.4790000000000001</v>
      </c>
      <c r="B297">
        <v>1.4449999999999999E-2</v>
      </c>
    </row>
    <row r="299" spans="1:2" x14ac:dyDescent="0.2">
      <c r="A299">
        <v>3.484</v>
      </c>
      <c r="B299">
        <v>1.3299999999999999E-2</v>
      </c>
    </row>
    <row r="301" spans="1:2" x14ac:dyDescent="0.2">
      <c r="A301">
        <v>3.51</v>
      </c>
      <c r="B301">
        <v>1.2930000000000001E-2</v>
      </c>
    </row>
    <row r="303" spans="1:2" x14ac:dyDescent="0.2">
      <c r="A303">
        <v>3.5150000000000001</v>
      </c>
      <c r="B303">
        <v>1.1849999999999999E-2</v>
      </c>
    </row>
    <row r="305" spans="1:2" x14ac:dyDescent="0.2">
      <c r="A305">
        <v>3.5230000000000001</v>
      </c>
      <c r="B305">
        <v>1.06E-2</v>
      </c>
    </row>
    <row r="307" spans="1:2" x14ac:dyDescent="0.2">
      <c r="A307">
        <v>3.556</v>
      </c>
      <c r="B307">
        <v>1.039E-2</v>
      </c>
    </row>
    <row r="309" spans="1:2" x14ac:dyDescent="0.2">
      <c r="A309">
        <v>3.5859999999999999</v>
      </c>
      <c r="B309">
        <v>1.027E-2</v>
      </c>
    </row>
    <row r="311" spans="1:2" x14ac:dyDescent="0.2">
      <c r="A311">
        <v>3.5960000000000001</v>
      </c>
      <c r="B311">
        <v>1.102E-2</v>
      </c>
    </row>
    <row r="313" spans="1:2" x14ac:dyDescent="0.2">
      <c r="A313">
        <v>3.6059999999999999</v>
      </c>
      <c r="B313">
        <v>1.2019999999999999E-2</v>
      </c>
    </row>
    <row r="315" spans="1:2" x14ac:dyDescent="0.2">
      <c r="A315">
        <v>3.6339999999999999</v>
      </c>
      <c r="B315">
        <v>1.238E-2</v>
      </c>
    </row>
    <row r="317" spans="1:2" x14ac:dyDescent="0.2">
      <c r="A317">
        <v>3.637</v>
      </c>
      <c r="B317">
        <v>1.379E-2</v>
      </c>
    </row>
    <row r="319" spans="1:2" x14ac:dyDescent="0.2">
      <c r="A319">
        <v>3.6469999999999998</v>
      </c>
      <c r="B319">
        <v>1.498E-2</v>
      </c>
    </row>
    <row r="321" spans="1:2" x14ac:dyDescent="0.2">
      <c r="A321">
        <v>3.677</v>
      </c>
      <c r="B321">
        <v>1.511E-2</v>
      </c>
    </row>
    <row r="323" spans="1:2" x14ac:dyDescent="0.2">
      <c r="A323">
        <v>3.6819999999999999</v>
      </c>
      <c r="B323">
        <v>1.602E-2</v>
      </c>
    </row>
    <row r="325" spans="1:2" x14ac:dyDescent="0.2">
      <c r="A325">
        <v>3.6869999999999998</v>
      </c>
      <c r="B325">
        <v>1.7399999999999999E-2</v>
      </c>
    </row>
    <row r="327" spans="1:2" x14ac:dyDescent="0.2">
      <c r="A327">
        <v>3.718</v>
      </c>
      <c r="B327">
        <v>1.7850000000000001E-2</v>
      </c>
    </row>
    <row r="329" spans="1:2" x14ac:dyDescent="0.2">
      <c r="A329">
        <v>3.7480000000000002</v>
      </c>
      <c r="B329">
        <v>1.8010000000000002E-2</v>
      </c>
    </row>
    <row r="331" spans="1:2" x14ac:dyDescent="0.2">
      <c r="A331">
        <v>3.7690000000000001</v>
      </c>
      <c r="B331">
        <v>1.651E-2</v>
      </c>
    </row>
    <row r="333" spans="1:2" x14ac:dyDescent="0.2">
      <c r="A333">
        <v>3.794</v>
      </c>
      <c r="B333">
        <v>1.6150000000000001E-2</v>
      </c>
    </row>
    <row r="335" spans="1:2" x14ac:dyDescent="0.2">
      <c r="A335">
        <v>3.8</v>
      </c>
      <c r="B335">
        <v>1.49E-2</v>
      </c>
    </row>
    <row r="337" spans="1:2" x14ac:dyDescent="0.2">
      <c r="A337">
        <v>3.81</v>
      </c>
      <c r="B337">
        <v>1.3610000000000001E-2</v>
      </c>
    </row>
    <row r="339" spans="1:2" x14ac:dyDescent="0.2">
      <c r="A339">
        <v>3.835</v>
      </c>
      <c r="B339">
        <v>1.333E-2</v>
      </c>
    </row>
    <row r="341" spans="1:2" x14ac:dyDescent="0.2">
      <c r="A341">
        <v>3.8410000000000002</v>
      </c>
      <c r="B341">
        <v>1.223E-2</v>
      </c>
    </row>
    <row r="343" spans="1:2" x14ac:dyDescent="0.2">
      <c r="A343">
        <v>3.851</v>
      </c>
      <c r="B343">
        <v>1.116E-2</v>
      </c>
    </row>
    <row r="345" spans="1:2" x14ac:dyDescent="0.2">
      <c r="A345">
        <v>3.8759999999999999</v>
      </c>
      <c r="B345">
        <v>1.094E-2</v>
      </c>
    </row>
    <row r="347" spans="1:2" x14ac:dyDescent="0.2">
      <c r="A347">
        <v>3.8889999999999998</v>
      </c>
      <c r="B347">
        <v>9.7249999999999993E-3</v>
      </c>
    </row>
    <row r="349" spans="1:2" x14ac:dyDescent="0.2">
      <c r="A349">
        <v>3.9220000000000002</v>
      </c>
      <c r="B349">
        <v>9.5519999999999997E-3</v>
      </c>
    </row>
    <row r="351" spans="1:2" x14ac:dyDescent="0.2">
      <c r="A351">
        <v>3.9529999999999998</v>
      </c>
      <c r="B351">
        <v>9.4789999999999996E-3</v>
      </c>
    </row>
    <row r="353" spans="1:2" x14ac:dyDescent="0.2">
      <c r="A353">
        <v>3.9630000000000001</v>
      </c>
      <c r="B353">
        <v>1.013E-2</v>
      </c>
    </row>
    <row r="355" spans="1:2" x14ac:dyDescent="0.2">
      <c r="A355">
        <v>3.996</v>
      </c>
      <c r="B355">
        <v>1.047E-2</v>
      </c>
    </row>
    <row r="357" spans="1:2" x14ac:dyDescent="0.2">
      <c r="A357">
        <v>4.0039999999999996</v>
      </c>
      <c r="B357">
        <v>1.167E-2</v>
      </c>
    </row>
    <row r="359" spans="1:2" x14ac:dyDescent="0.2">
      <c r="A359">
        <v>4.0140000000000002</v>
      </c>
      <c r="B359">
        <v>1.268E-2</v>
      </c>
    </row>
    <row r="361" spans="1:2" x14ac:dyDescent="0.2">
      <c r="A361">
        <v>4.0389999999999997</v>
      </c>
      <c r="B361">
        <v>1.4970000000000001E-2</v>
      </c>
    </row>
    <row r="363" spans="1:2" x14ac:dyDescent="0.2">
      <c r="A363">
        <v>4.0389999999999997</v>
      </c>
      <c r="B363">
        <v>1.389E-2</v>
      </c>
    </row>
    <row r="365" spans="1:2" x14ac:dyDescent="0.2">
      <c r="A365">
        <v>4.0389999999999997</v>
      </c>
      <c r="B365">
        <v>1.29E-2</v>
      </c>
    </row>
    <row r="367" spans="1:2" x14ac:dyDescent="0.2">
      <c r="A367">
        <v>4.0439999999999996</v>
      </c>
      <c r="B367">
        <v>1.626E-2</v>
      </c>
    </row>
    <row r="369" spans="1:2" x14ac:dyDescent="0.2">
      <c r="A369">
        <v>4.069</v>
      </c>
      <c r="B369">
        <v>1.6639999999999999E-2</v>
      </c>
    </row>
    <row r="371" spans="1:2" x14ac:dyDescent="0.2">
      <c r="A371">
        <v>4.0739999999999998</v>
      </c>
      <c r="B371">
        <v>2.068E-2</v>
      </c>
    </row>
    <row r="373" spans="1:2" x14ac:dyDescent="0.2">
      <c r="A373">
        <v>4.0739999999999998</v>
      </c>
      <c r="B373">
        <v>1.9199999999999998E-2</v>
      </c>
    </row>
    <row r="375" spans="1:2" x14ac:dyDescent="0.2">
      <c r="A375">
        <v>4.0739999999999998</v>
      </c>
      <c r="B375">
        <v>1.7819999999999999E-2</v>
      </c>
    </row>
    <row r="377" spans="1:2" x14ac:dyDescent="0.2">
      <c r="A377">
        <v>4.0839999999999996</v>
      </c>
      <c r="B377">
        <v>2.266E-2</v>
      </c>
    </row>
    <row r="379" spans="1:2" x14ac:dyDescent="0.2">
      <c r="A379">
        <v>4.1150000000000002</v>
      </c>
      <c r="B379">
        <v>2.3050000000000001E-2</v>
      </c>
    </row>
    <row r="381" spans="1:2" x14ac:dyDescent="0.2">
      <c r="A381">
        <v>4.1189999999999998</v>
      </c>
      <c r="B381">
        <v>2.8590000000000001E-2</v>
      </c>
    </row>
    <row r="383" spans="1:2" x14ac:dyDescent="0.2">
      <c r="A383">
        <v>4.1189999999999998</v>
      </c>
      <c r="B383">
        <v>2.6530000000000001E-2</v>
      </c>
    </row>
    <row r="385" spans="1:2" x14ac:dyDescent="0.2">
      <c r="A385">
        <v>4.1189999999999998</v>
      </c>
      <c r="B385">
        <v>2.4629999999999999E-2</v>
      </c>
    </row>
    <row r="387" spans="1:2" x14ac:dyDescent="0.2">
      <c r="A387">
        <v>4.1239999999999997</v>
      </c>
      <c r="B387">
        <v>3.1050000000000001E-2</v>
      </c>
    </row>
    <row r="389" spans="1:2" x14ac:dyDescent="0.2">
      <c r="A389">
        <v>4.157</v>
      </c>
      <c r="B389">
        <v>3.2230000000000002E-2</v>
      </c>
    </row>
    <row r="391" spans="1:2" x14ac:dyDescent="0.2">
      <c r="A391">
        <v>4.1589999999999998</v>
      </c>
      <c r="B391">
        <v>3.8539999999999998E-2</v>
      </c>
    </row>
    <row r="393" spans="1:2" x14ac:dyDescent="0.2">
      <c r="A393">
        <v>4.16</v>
      </c>
      <c r="B393">
        <v>3.5770000000000003E-2</v>
      </c>
    </row>
    <row r="395" spans="1:2" x14ac:dyDescent="0.2">
      <c r="A395">
        <v>4.1639999999999997</v>
      </c>
      <c r="B395">
        <v>4.1869999999999997E-2</v>
      </c>
    </row>
    <row r="397" spans="1:2" x14ac:dyDescent="0.2">
      <c r="A397">
        <v>4.1920000000000002</v>
      </c>
      <c r="B397">
        <v>4.3299999999999998E-2</v>
      </c>
    </row>
    <row r="399" spans="1:2" x14ac:dyDescent="0.2">
      <c r="A399">
        <v>4.1950000000000003</v>
      </c>
      <c r="B399">
        <v>4.8219999999999999E-2</v>
      </c>
    </row>
    <row r="401" spans="1:2" x14ac:dyDescent="0.2">
      <c r="A401">
        <v>4.2050000000000001</v>
      </c>
      <c r="B401">
        <v>5.2389999999999999E-2</v>
      </c>
    </row>
    <row r="403" spans="1:2" x14ac:dyDescent="0.2">
      <c r="A403">
        <v>4.2300000000000004</v>
      </c>
      <c r="B403">
        <v>5.296E-2</v>
      </c>
    </row>
    <row r="405" spans="1:2" x14ac:dyDescent="0.2">
      <c r="A405">
        <v>4.2350000000000003</v>
      </c>
      <c r="B405">
        <v>5.7410000000000003E-2</v>
      </c>
    </row>
    <row r="407" spans="1:2" x14ac:dyDescent="0.2">
      <c r="A407">
        <v>4.2450000000000001</v>
      </c>
      <c r="B407">
        <v>6.2379999999999998E-2</v>
      </c>
    </row>
    <row r="409" spans="1:2" x14ac:dyDescent="0.2">
      <c r="A409">
        <v>4.2720000000000002</v>
      </c>
      <c r="B409">
        <v>6.3189999999999996E-2</v>
      </c>
    </row>
    <row r="411" spans="1:2" x14ac:dyDescent="0.2">
      <c r="A411">
        <v>4.2859999999999996</v>
      </c>
      <c r="B411">
        <v>7.127E-2</v>
      </c>
    </row>
    <row r="413" spans="1:2" x14ac:dyDescent="0.2">
      <c r="A413">
        <v>4.3109999999999999</v>
      </c>
      <c r="B413">
        <v>7.2340000000000002E-2</v>
      </c>
    </row>
    <row r="415" spans="1:2" x14ac:dyDescent="0.2">
      <c r="A415">
        <v>4.3159999999999998</v>
      </c>
      <c r="B415">
        <v>7.7460000000000001E-2</v>
      </c>
    </row>
    <row r="417" spans="1:2" x14ac:dyDescent="0.2">
      <c r="A417">
        <v>4.3259999999999996</v>
      </c>
      <c r="B417">
        <v>8.4860000000000005E-2</v>
      </c>
    </row>
    <row r="419" spans="1:2" x14ac:dyDescent="0.2">
      <c r="A419">
        <v>4.3520000000000003</v>
      </c>
      <c r="B419">
        <v>8.6139999999999994E-2</v>
      </c>
    </row>
    <row r="421" spans="1:2" x14ac:dyDescent="0.2">
      <c r="A421">
        <v>4.3559999999999999</v>
      </c>
      <c r="B421">
        <v>9.9360000000000004E-2</v>
      </c>
    </row>
    <row r="423" spans="1:2" x14ac:dyDescent="0.2">
      <c r="A423">
        <v>4.3570000000000002</v>
      </c>
      <c r="B423">
        <v>9.2230000000000006E-2</v>
      </c>
    </row>
    <row r="425" spans="1:2" x14ac:dyDescent="0.2">
      <c r="A425">
        <v>4.3659999999999997</v>
      </c>
      <c r="B425">
        <v>0.1089</v>
      </c>
    </row>
    <row r="427" spans="1:2" x14ac:dyDescent="0.2">
      <c r="A427">
        <v>4.391</v>
      </c>
      <c r="B427">
        <v>0.14430000000000001</v>
      </c>
    </row>
    <row r="429" spans="1:2" x14ac:dyDescent="0.2">
      <c r="A429">
        <v>4.3920000000000003</v>
      </c>
      <c r="B429">
        <v>0.13389999999999999</v>
      </c>
    </row>
    <row r="431" spans="1:2" x14ac:dyDescent="0.2">
      <c r="A431">
        <v>4.3920000000000003</v>
      </c>
      <c r="B431">
        <v>0.12429999999999999</v>
      </c>
    </row>
    <row r="433" spans="1:2" x14ac:dyDescent="0.2">
      <c r="A433">
        <v>4.3920000000000003</v>
      </c>
      <c r="B433">
        <v>0.11260000000000001</v>
      </c>
    </row>
    <row r="435" spans="1:2" x14ac:dyDescent="0.2">
      <c r="A435">
        <v>4.3959999999999999</v>
      </c>
      <c r="B435">
        <v>0.15679999999999999</v>
      </c>
    </row>
    <row r="437" spans="1:2" x14ac:dyDescent="0.2">
      <c r="A437">
        <v>4.4269999999999996</v>
      </c>
      <c r="B437">
        <v>0.1608</v>
      </c>
    </row>
    <row r="439" spans="1:2" x14ac:dyDescent="0.2">
      <c r="A439">
        <v>4.4359999999999999</v>
      </c>
      <c r="B439">
        <v>0.23730000000000001</v>
      </c>
    </row>
    <row r="441" spans="1:2" x14ac:dyDescent="0.2">
      <c r="A441">
        <v>4.4370000000000003</v>
      </c>
      <c r="B441">
        <v>0.2203</v>
      </c>
    </row>
    <row r="443" spans="1:2" x14ac:dyDescent="0.2">
      <c r="A443">
        <v>4.4370000000000003</v>
      </c>
      <c r="B443">
        <v>0.20449999999999999</v>
      </c>
    </row>
    <row r="445" spans="1:2" x14ac:dyDescent="0.2">
      <c r="A445">
        <v>4.4370000000000003</v>
      </c>
      <c r="B445">
        <v>0.1898</v>
      </c>
    </row>
    <row r="447" spans="1:2" x14ac:dyDescent="0.2">
      <c r="A447">
        <v>4.4370000000000003</v>
      </c>
      <c r="B447">
        <v>0.1762</v>
      </c>
    </row>
    <row r="449" spans="1:2" x14ac:dyDescent="0.2">
      <c r="A449">
        <v>4.4459999999999997</v>
      </c>
      <c r="B449">
        <v>0.26</v>
      </c>
    </row>
    <row r="451" spans="1:2" x14ac:dyDescent="0.2">
      <c r="A451">
        <v>4.47</v>
      </c>
      <c r="B451">
        <v>0.32250000000000001</v>
      </c>
    </row>
    <row r="453" spans="1:2" x14ac:dyDescent="0.2">
      <c r="A453">
        <v>4.4710000000000001</v>
      </c>
      <c r="B453">
        <v>0.41</v>
      </c>
    </row>
    <row r="455" spans="1:2" x14ac:dyDescent="0.2">
      <c r="A455">
        <v>4.4710000000000001</v>
      </c>
      <c r="B455">
        <v>0.38059999999999999</v>
      </c>
    </row>
    <row r="457" spans="1:2" x14ac:dyDescent="0.2">
      <c r="A457">
        <v>4.4710000000000001</v>
      </c>
      <c r="B457">
        <v>0.3533</v>
      </c>
    </row>
    <row r="459" spans="1:2" x14ac:dyDescent="0.2">
      <c r="A459">
        <v>4.4720000000000004</v>
      </c>
      <c r="B459">
        <v>0.26550000000000001</v>
      </c>
    </row>
    <row r="461" spans="1:2" x14ac:dyDescent="0.2">
      <c r="A461">
        <v>4.476</v>
      </c>
      <c r="B461">
        <v>0.44540000000000002</v>
      </c>
    </row>
    <row r="463" spans="1:2" x14ac:dyDescent="0.2">
      <c r="A463">
        <v>4.4770000000000003</v>
      </c>
      <c r="B463">
        <v>0.3044</v>
      </c>
    </row>
    <row r="465" spans="1:2" x14ac:dyDescent="0.2">
      <c r="A465">
        <v>4.4770000000000003</v>
      </c>
      <c r="B465">
        <v>0.28260000000000002</v>
      </c>
    </row>
    <row r="467" spans="1:2" x14ac:dyDescent="0.2">
      <c r="A467">
        <v>4.5069999999999997</v>
      </c>
      <c r="B467">
        <v>0.45689999999999997</v>
      </c>
    </row>
    <row r="469" spans="1:2" x14ac:dyDescent="0.2">
      <c r="A469">
        <v>4.5110000000000001</v>
      </c>
      <c r="B469">
        <v>0.70850000000000002</v>
      </c>
    </row>
    <row r="471" spans="1:2" x14ac:dyDescent="0.2">
      <c r="A471">
        <v>4.5110000000000001</v>
      </c>
      <c r="B471">
        <v>0.65769999999999995</v>
      </c>
    </row>
    <row r="473" spans="1:2" x14ac:dyDescent="0.2">
      <c r="A473">
        <v>4.5110000000000001</v>
      </c>
      <c r="B473">
        <v>0.61050000000000004</v>
      </c>
    </row>
    <row r="475" spans="1:2" x14ac:dyDescent="0.2">
      <c r="A475">
        <v>4.5110000000000001</v>
      </c>
      <c r="B475">
        <v>0.56659999999999999</v>
      </c>
    </row>
    <row r="477" spans="1:2" x14ac:dyDescent="0.2">
      <c r="A477">
        <v>4.5119999999999996</v>
      </c>
      <c r="B477">
        <v>0.52600000000000002</v>
      </c>
    </row>
    <row r="479" spans="1:2" x14ac:dyDescent="0.2">
      <c r="A479">
        <v>4.5119999999999996</v>
      </c>
      <c r="B479">
        <v>0.48820000000000002</v>
      </c>
    </row>
    <row r="481" spans="1:2" x14ac:dyDescent="0.2">
      <c r="A481">
        <v>4.516</v>
      </c>
      <c r="B481">
        <v>0.76970000000000005</v>
      </c>
    </row>
    <row r="483" spans="1:2" x14ac:dyDescent="0.2">
      <c r="A483">
        <v>4.5460000000000003</v>
      </c>
      <c r="B483">
        <v>0.78949999999999998</v>
      </c>
    </row>
    <row r="485" spans="1:2" x14ac:dyDescent="0.2">
      <c r="A485">
        <v>4.55</v>
      </c>
      <c r="B485">
        <v>0.89390000000000003</v>
      </c>
    </row>
    <row r="487" spans="1:2" x14ac:dyDescent="0.2">
      <c r="A487">
        <v>4.5510000000000002</v>
      </c>
      <c r="B487">
        <v>1.1359999999999999</v>
      </c>
    </row>
    <row r="489" spans="1:2" x14ac:dyDescent="0.2">
      <c r="A489">
        <v>4.5510000000000002</v>
      </c>
      <c r="B489">
        <v>1.0549999999999999</v>
      </c>
    </row>
    <row r="491" spans="1:2" x14ac:dyDescent="0.2">
      <c r="A491">
        <v>4.5510000000000002</v>
      </c>
      <c r="B491">
        <v>0.97919999999999996</v>
      </c>
    </row>
    <row r="493" spans="1:2" x14ac:dyDescent="0.2">
      <c r="A493">
        <v>4.556</v>
      </c>
      <c r="B493">
        <v>1.2350000000000001</v>
      </c>
    </row>
    <row r="495" spans="1:2" x14ac:dyDescent="0.2">
      <c r="A495">
        <v>4.5570000000000004</v>
      </c>
      <c r="B495">
        <v>0.84370000000000001</v>
      </c>
    </row>
    <row r="497" spans="1:2" x14ac:dyDescent="0.2">
      <c r="A497">
        <v>4.5860000000000003</v>
      </c>
      <c r="B497">
        <v>1.266</v>
      </c>
    </row>
    <row r="499" spans="1:2" x14ac:dyDescent="0.2">
      <c r="A499">
        <v>4.5910000000000002</v>
      </c>
      <c r="B499">
        <v>1.571</v>
      </c>
    </row>
    <row r="501" spans="1:2" x14ac:dyDescent="0.2">
      <c r="A501">
        <v>4.5910000000000002</v>
      </c>
      <c r="B501">
        <v>1.458</v>
      </c>
    </row>
    <row r="503" spans="1:2" x14ac:dyDescent="0.2">
      <c r="A503">
        <v>4.5910000000000002</v>
      </c>
      <c r="B503">
        <v>1.353</v>
      </c>
    </row>
    <row r="505" spans="1:2" x14ac:dyDescent="0.2">
      <c r="A505">
        <v>4.5960000000000001</v>
      </c>
      <c r="B505">
        <v>1.706</v>
      </c>
    </row>
    <row r="507" spans="1:2" x14ac:dyDescent="0.2">
      <c r="A507">
        <v>4.6269999999999998</v>
      </c>
      <c r="B507">
        <v>1.7649999999999999</v>
      </c>
    </row>
    <row r="509" spans="1:2" x14ac:dyDescent="0.2">
      <c r="A509">
        <v>4.6319999999999997</v>
      </c>
      <c r="B509">
        <v>1.917</v>
      </c>
    </row>
    <row r="511" spans="1:2" x14ac:dyDescent="0.2">
      <c r="A511">
        <v>4.6369999999999996</v>
      </c>
      <c r="B511">
        <v>2.0830000000000002</v>
      </c>
    </row>
    <row r="513" spans="1:2" x14ac:dyDescent="0.2">
      <c r="A513">
        <v>4.6619999999999999</v>
      </c>
      <c r="B513">
        <v>2.1320000000000001</v>
      </c>
    </row>
    <row r="515" spans="1:2" x14ac:dyDescent="0.2">
      <c r="A515">
        <v>4.6769999999999996</v>
      </c>
      <c r="B515">
        <v>2.3109999999999999</v>
      </c>
    </row>
    <row r="517" spans="1:2" x14ac:dyDescent="0.2">
      <c r="A517">
        <v>4.7080000000000002</v>
      </c>
      <c r="B517">
        <v>2.3420000000000001</v>
      </c>
    </row>
    <row r="519" spans="1:2" x14ac:dyDescent="0.2">
      <c r="A519">
        <v>4.7380000000000004</v>
      </c>
      <c r="B519">
        <v>2.343</v>
      </c>
    </row>
    <row r="521" spans="1:2" x14ac:dyDescent="0.2">
      <c r="A521">
        <v>4.7690000000000001</v>
      </c>
      <c r="B521">
        <v>2.3149999999999999</v>
      </c>
    </row>
    <row r="523" spans="1:2" x14ac:dyDescent="0.2">
      <c r="A523">
        <v>4.7969999999999997</v>
      </c>
      <c r="B523">
        <v>2.218</v>
      </c>
    </row>
    <row r="525" spans="1:2" x14ac:dyDescent="0.2">
      <c r="A525">
        <v>4.83</v>
      </c>
      <c r="B525">
        <v>2.161</v>
      </c>
    </row>
    <row r="527" spans="1:2" x14ac:dyDescent="0.2">
      <c r="A527">
        <v>4.84</v>
      </c>
      <c r="B527">
        <v>2.0859999999999999</v>
      </c>
    </row>
    <row r="529" spans="1:2" x14ac:dyDescent="0.2">
      <c r="A529">
        <v>4.8710000000000004</v>
      </c>
      <c r="B529">
        <v>2.0750000000000002</v>
      </c>
    </row>
    <row r="531" spans="1:2" x14ac:dyDescent="0.2">
      <c r="A531">
        <v>4.9009999999999998</v>
      </c>
      <c r="B531">
        <v>2.0419999999999998</v>
      </c>
    </row>
    <row r="533" spans="1:2" x14ac:dyDescent="0.2">
      <c r="A533">
        <v>4.9320000000000004</v>
      </c>
      <c r="B533">
        <v>2.0009999999999999</v>
      </c>
    </row>
    <row r="535" spans="1:2" x14ac:dyDescent="0.2">
      <c r="A535">
        <v>4.9619999999999997</v>
      </c>
      <c r="B535">
        <v>1.986</v>
      </c>
    </row>
    <row r="537" spans="1:2" x14ac:dyDescent="0.2">
      <c r="A537">
        <v>4.9930000000000003</v>
      </c>
      <c r="B537">
        <v>1.962</v>
      </c>
    </row>
    <row r="539" spans="1:2" x14ac:dyDescent="0.2">
      <c r="A539">
        <v>5.024</v>
      </c>
      <c r="B539">
        <v>1.9390000000000001</v>
      </c>
    </row>
    <row r="541" spans="1:2" x14ac:dyDescent="0.2">
      <c r="A541">
        <v>5.0439999999999996</v>
      </c>
      <c r="B541">
        <v>1.8540000000000001</v>
      </c>
    </row>
    <row r="543" spans="1:2" x14ac:dyDescent="0.2">
      <c r="A543">
        <v>5.069</v>
      </c>
      <c r="B543">
        <v>1.839</v>
      </c>
    </row>
    <row r="545" spans="1:2" x14ac:dyDescent="0.2">
      <c r="A545">
        <v>5.0750000000000002</v>
      </c>
      <c r="B545">
        <v>1.6930000000000001</v>
      </c>
    </row>
    <row r="547" spans="1:2" x14ac:dyDescent="0.2">
      <c r="A547">
        <v>5.1050000000000004</v>
      </c>
      <c r="B547">
        <v>1.639</v>
      </c>
    </row>
    <row r="549" spans="1:2" x14ac:dyDescent="0.2">
      <c r="A549">
        <v>5.1109999999999998</v>
      </c>
      <c r="B549">
        <v>1.5089999999999999</v>
      </c>
    </row>
    <row r="551" spans="1:2" x14ac:dyDescent="0.2">
      <c r="A551">
        <v>5.1159999999999997</v>
      </c>
      <c r="B551">
        <v>1.413</v>
      </c>
    </row>
    <row r="553" spans="1:2" x14ac:dyDescent="0.2">
      <c r="A553">
        <v>5.1459999999999999</v>
      </c>
      <c r="B553">
        <v>1.379</v>
      </c>
    </row>
    <row r="555" spans="1:2" x14ac:dyDescent="0.2">
      <c r="A555">
        <v>5.1520000000000001</v>
      </c>
      <c r="B555">
        <v>1.2689999999999999</v>
      </c>
    </row>
    <row r="557" spans="1:2" x14ac:dyDescent="0.2">
      <c r="A557">
        <v>5.157</v>
      </c>
      <c r="B557">
        <v>1.153</v>
      </c>
    </row>
    <row r="559" spans="1:2" x14ac:dyDescent="0.2">
      <c r="A559">
        <v>5.1870000000000003</v>
      </c>
      <c r="B559">
        <v>1.127</v>
      </c>
    </row>
    <row r="561" spans="1:2" x14ac:dyDescent="0.2">
      <c r="A561">
        <v>5.1909999999999998</v>
      </c>
      <c r="B561">
        <v>0.95079999999999998</v>
      </c>
    </row>
    <row r="563" spans="1:2" x14ac:dyDescent="0.2">
      <c r="A563">
        <v>5.1929999999999996</v>
      </c>
      <c r="B563">
        <v>1.0409999999999999</v>
      </c>
    </row>
    <row r="565" spans="1:2" x14ac:dyDescent="0.2">
      <c r="A565">
        <v>5.2080000000000002</v>
      </c>
      <c r="B565">
        <v>0.90880000000000005</v>
      </c>
    </row>
    <row r="567" spans="1:2" x14ac:dyDescent="0.2">
      <c r="A567">
        <v>5.234</v>
      </c>
      <c r="B567">
        <v>0.89800000000000002</v>
      </c>
    </row>
    <row r="569" spans="1:2" x14ac:dyDescent="0.2">
      <c r="A569">
        <v>5.234</v>
      </c>
      <c r="B569">
        <v>0.83350000000000002</v>
      </c>
    </row>
    <row r="571" spans="1:2" x14ac:dyDescent="0.2">
      <c r="A571">
        <v>5.2370000000000001</v>
      </c>
      <c r="B571">
        <v>0.75290000000000001</v>
      </c>
    </row>
    <row r="573" spans="1:2" x14ac:dyDescent="0.2">
      <c r="A573">
        <v>5.2640000000000002</v>
      </c>
      <c r="B573">
        <v>0.74119999999999997</v>
      </c>
    </row>
    <row r="575" spans="1:2" x14ac:dyDescent="0.2">
      <c r="A575">
        <v>5.28</v>
      </c>
      <c r="B575">
        <v>0.67269999999999996</v>
      </c>
    </row>
    <row r="577" spans="1:2" x14ac:dyDescent="0.2">
      <c r="A577">
        <v>5.31</v>
      </c>
      <c r="B577">
        <v>0.65659999999999996</v>
      </c>
    </row>
    <row r="579" spans="1:2" x14ac:dyDescent="0.2">
      <c r="A579">
        <v>5.3440000000000003</v>
      </c>
      <c r="B579">
        <v>0.64359999999999995</v>
      </c>
    </row>
    <row r="581" spans="1:2" x14ac:dyDescent="0.2">
      <c r="A581">
        <v>5.3719999999999999</v>
      </c>
      <c r="B581">
        <v>0.67669999999999997</v>
      </c>
    </row>
    <row r="583" spans="1:2" x14ac:dyDescent="0.2">
      <c r="A583">
        <v>5.3920000000000003</v>
      </c>
      <c r="B583">
        <v>0.68540000000000001</v>
      </c>
    </row>
    <row r="585" spans="1:2" x14ac:dyDescent="0.2">
      <c r="A585">
        <v>5.4020000000000001</v>
      </c>
      <c r="B585">
        <v>0.76970000000000005</v>
      </c>
    </row>
    <row r="587" spans="1:2" x14ac:dyDescent="0.2">
      <c r="A587">
        <v>5.4269999999999996</v>
      </c>
      <c r="B587">
        <v>0.78620000000000001</v>
      </c>
    </row>
    <row r="589" spans="1:2" x14ac:dyDescent="0.2">
      <c r="A589">
        <v>5.4320000000000004</v>
      </c>
      <c r="B589">
        <v>0.85770000000000002</v>
      </c>
    </row>
    <row r="591" spans="1:2" x14ac:dyDescent="0.2">
      <c r="A591">
        <v>5.4420000000000002</v>
      </c>
      <c r="B591">
        <v>0.92420000000000002</v>
      </c>
    </row>
    <row r="593" spans="1:2" x14ac:dyDescent="0.2">
      <c r="A593">
        <v>5.468</v>
      </c>
      <c r="B593">
        <v>0.94199999999999995</v>
      </c>
    </row>
    <row r="595" spans="1:2" x14ac:dyDescent="0.2">
      <c r="A595">
        <v>5.4729999999999999</v>
      </c>
      <c r="B595">
        <v>1.0209999999999999</v>
      </c>
    </row>
    <row r="597" spans="1:2" x14ac:dyDescent="0.2">
      <c r="A597">
        <v>5.4829999999999997</v>
      </c>
      <c r="B597">
        <v>1.1140000000000001</v>
      </c>
    </row>
    <row r="599" spans="1:2" x14ac:dyDescent="0.2">
      <c r="A599">
        <v>5.508</v>
      </c>
      <c r="B599">
        <v>1.157</v>
      </c>
    </row>
    <row r="601" spans="1:2" x14ac:dyDescent="0.2">
      <c r="A601">
        <v>5.5129999999999999</v>
      </c>
      <c r="B601">
        <v>1.2889999999999999</v>
      </c>
    </row>
    <row r="603" spans="1:2" x14ac:dyDescent="0.2">
      <c r="A603">
        <v>5.5439999999999996</v>
      </c>
      <c r="B603">
        <v>1.331</v>
      </c>
    </row>
    <row r="605" spans="1:2" x14ac:dyDescent="0.2">
      <c r="A605">
        <v>5.5640000000000001</v>
      </c>
      <c r="B605">
        <v>1.4239999999999999</v>
      </c>
    </row>
    <row r="607" spans="1:2" x14ac:dyDescent="0.2">
      <c r="A607">
        <v>5.5940000000000003</v>
      </c>
      <c r="B607">
        <v>1.425</v>
      </c>
    </row>
    <row r="609" spans="1:2" x14ac:dyDescent="0.2">
      <c r="A609">
        <v>5.625</v>
      </c>
      <c r="B609">
        <v>1.391</v>
      </c>
    </row>
    <row r="611" spans="1:2" x14ac:dyDescent="0.2">
      <c r="A611">
        <v>5.6349999999999998</v>
      </c>
      <c r="B611">
        <v>1.302</v>
      </c>
    </row>
    <row r="613" spans="1:2" x14ac:dyDescent="0.2">
      <c r="A613">
        <v>5.6660000000000004</v>
      </c>
      <c r="B613">
        <v>1.2869999999999999</v>
      </c>
    </row>
    <row r="615" spans="1:2" x14ac:dyDescent="0.2">
      <c r="A615">
        <v>5.6710000000000003</v>
      </c>
      <c r="B615">
        <v>1.19</v>
      </c>
    </row>
    <row r="617" spans="1:2" x14ac:dyDescent="0.2">
      <c r="A617">
        <v>5.6760000000000002</v>
      </c>
      <c r="B617">
        <v>1.1180000000000001</v>
      </c>
    </row>
    <row r="619" spans="1:2" x14ac:dyDescent="0.2">
      <c r="A619">
        <v>5.7069999999999999</v>
      </c>
      <c r="B619">
        <v>1.1000000000000001</v>
      </c>
    </row>
    <row r="621" spans="1:2" x14ac:dyDescent="0.2">
      <c r="A621">
        <v>5.7119999999999997</v>
      </c>
      <c r="B621">
        <v>1.0129999999999999</v>
      </c>
    </row>
    <row r="623" spans="1:2" x14ac:dyDescent="0.2">
      <c r="A623">
        <v>5.7169999999999996</v>
      </c>
      <c r="B623">
        <v>0.94440000000000002</v>
      </c>
    </row>
    <row r="625" spans="1:2" x14ac:dyDescent="0.2">
      <c r="A625">
        <v>5.7480000000000002</v>
      </c>
      <c r="B625">
        <v>0.93330000000000002</v>
      </c>
    </row>
    <row r="627" spans="1:2" x14ac:dyDescent="0.2">
      <c r="A627">
        <v>5.7560000000000002</v>
      </c>
      <c r="B627">
        <v>0.83760000000000001</v>
      </c>
    </row>
    <row r="629" spans="1:2" x14ac:dyDescent="0.2">
      <c r="A629">
        <v>5.7889999999999997</v>
      </c>
      <c r="B629">
        <v>0.80810000000000004</v>
      </c>
    </row>
    <row r="631" spans="1:2" x14ac:dyDescent="0.2">
      <c r="A631">
        <v>5.7990000000000004</v>
      </c>
      <c r="B631">
        <v>0.75649999999999995</v>
      </c>
    </row>
    <row r="633" spans="1:2" x14ac:dyDescent="0.2">
      <c r="A633">
        <v>5.83</v>
      </c>
      <c r="B633">
        <v>0.75380000000000003</v>
      </c>
    </row>
    <row r="635" spans="1:2" x14ac:dyDescent="0.2">
      <c r="A635">
        <v>5.8630000000000004</v>
      </c>
      <c r="B635">
        <v>0.75419999999999998</v>
      </c>
    </row>
    <row r="637" spans="1:2" x14ac:dyDescent="0.2">
      <c r="A637">
        <v>5.8879999999999999</v>
      </c>
      <c r="B637">
        <v>0.78320000000000001</v>
      </c>
    </row>
    <row r="639" spans="1:2" x14ac:dyDescent="0.2">
      <c r="A639">
        <v>5.9160000000000004</v>
      </c>
      <c r="B639">
        <v>0.82350000000000001</v>
      </c>
    </row>
    <row r="641" spans="1:2" x14ac:dyDescent="0.2">
      <c r="A641">
        <v>5.9210000000000003</v>
      </c>
      <c r="B641">
        <v>0.91339999999999999</v>
      </c>
    </row>
    <row r="643" spans="1:2" x14ac:dyDescent="0.2">
      <c r="A643">
        <v>5.9459999999999997</v>
      </c>
      <c r="B643">
        <v>0.92720000000000002</v>
      </c>
    </row>
    <row r="645" spans="1:2" x14ac:dyDescent="0.2">
      <c r="A645">
        <v>5.9509999999999996</v>
      </c>
      <c r="B645">
        <v>1.0049999999999999</v>
      </c>
    </row>
    <row r="647" spans="1:2" x14ac:dyDescent="0.2">
      <c r="A647">
        <v>5.9610000000000003</v>
      </c>
      <c r="B647">
        <v>1.0920000000000001</v>
      </c>
    </row>
    <row r="649" spans="1:2" x14ac:dyDescent="0.2">
      <c r="A649">
        <v>5.9870000000000001</v>
      </c>
      <c r="B649">
        <v>1.167</v>
      </c>
    </row>
    <row r="651" spans="1:2" x14ac:dyDescent="0.2">
      <c r="A651">
        <v>5.9870000000000001</v>
      </c>
      <c r="B651">
        <v>1.097</v>
      </c>
    </row>
    <row r="653" spans="1:2" x14ac:dyDescent="0.2">
      <c r="A653">
        <v>5.992</v>
      </c>
      <c r="B653">
        <v>1.268</v>
      </c>
    </row>
    <row r="655" spans="1:2" x14ac:dyDescent="0.2">
      <c r="A655">
        <v>6.0220000000000002</v>
      </c>
      <c r="B655">
        <v>1.296</v>
      </c>
    </row>
    <row r="657" spans="1:2" x14ac:dyDescent="0.2">
      <c r="A657">
        <v>6.032</v>
      </c>
      <c r="B657">
        <v>1.39</v>
      </c>
    </row>
    <row r="659" spans="1:2" x14ac:dyDescent="0.2">
      <c r="A659">
        <v>6.0419999999999998</v>
      </c>
      <c r="B659">
        <v>1.498</v>
      </c>
    </row>
    <row r="661" spans="1:2" x14ac:dyDescent="0.2">
      <c r="A661">
        <v>6.0679999999999996</v>
      </c>
      <c r="B661">
        <v>1.5169999999999999</v>
      </c>
    </row>
    <row r="663" spans="1:2" x14ac:dyDescent="0.2">
      <c r="A663">
        <v>6.0830000000000002</v>
      </c>
      <c r="B663">
        <v>1.6419999999999999</v>
      </c>
    </row>
    <row r="665" spans="1:2" x14ac:dyDescent="0.2">
      <c r="A665">
        <v>6.1130000000000004</v>
      </c>
      <c r="B665">
        <v>1.6839999999999999</v>
      </c>
    </row>
    <row r="667" spans="1:2" x14ac:dyDescent="0.2">
      <c r="A667">
        <v>6.1440000000000001</v>
      </c>
      <c r="B667">
        <v>1.6850000000000001</v>
      </c>
    </row>
    <row r="669" spans="1:2" x14ac:dyDescent="0.2">
      <c r="A669">
        <v>6.1749999999999998</v>
      </c>
      <c r="B669">
        <v>1.645</v>
      </c>
    </row>
    <row r="671" spans="1:2" x14ac:dyDescent="0.2">
      <c r="A671">
        <v>6.1950000000000003</v>
      </c>
      <c r="B671">
        <v>1.554</v>
      </c>
    </row>
    <row r="673" spans="1:2" x14ac:dyDescent="0.2">
      <c r="A673">
        <v>6.226</v>
      </c>
      <c r="B673">
        <v>1.516</v>
      </c>
    </row>
    <row r="675" spans="1:2" x14ac:dyDescent="0.2">
      <c r="A675">
        <v>6.2359999999999998</v>
      </c>
      <c r="B675">
        <v>1.3839999999999999</v>
      </c>
    </row>
    <row r="677" spans="1:2" x14ac:dyDescent="0.2">
      <c r="A677">
        <v>6.266</v>
      </c>
      <c r="B677">
        <v>1.34</v>
      </c>
    </row>
    <row r="679" spans="1:2" x14ac:dyDescent="0.2">
      <c r="A679">
        <v>6.274</v>
      </c>
      <c r="B679">
        <v>1.2110000000000001</v>
      </c>
    </row>
    <row r="681" spans="1:2" x14ac:dyDescent="0.2">
      <c r="A681">
        <v>6.3070000000000004</v>
      </c>
      <c r="B681">
        <v>1.1839999999999999</v>
      </c>
    </row>
    <row r="683" spans="1:2" x14ac:dyDescent="0.2">
      <c r="A683">
        <v>6.3179999999999996</v>
      </c>
      <c r="B683">
        <v>1.081</v>
      </c>
    </row>
    <row r="685" spans="1:2" x14ac:dyDescent="0.2">
      <c r="A685">
        <v>6.3479999999999999</v>
      </c>
      <c r="B685">
        <v>1.0469999999999999</v>
      </c>
    </row>
    <row r="687" spans="1:2" x14ac:dyDescent="0.2">
      <c r="A687">
        <v>6.359</v>
      </c>
      <c r="B687">
        <v>0.98799999999999999</v>
      </c>
    </row>
    <row r="689" spans="1:2" x14ac:dyDescent="0.2">
      <c r="A689">
        <v>6.3890000000000002</v>
      </c>
      <c r="B689">
        <v>0.97240000000000004</v>
      </c>
    </row>
    <row r="691" spans="1:2" x14ac:dyDescent="0.2">
      <c r="A691">
        <v>6.42</v>
      </c>
      <c r="B691">
        <v>0.96089999999999998</v>
      </c>
    </row>
    <row r="693" spans="1:2" x14ac:dyDescent="0.2">
      <c r="A693">
        <v>6.45</v>
      </c>
      <c r="B693">
        <v>0.96540000000000004</v>
      </c>
    </row>
    <row r="695" spans="1:2" x14ac:dyDescent="0.2">
      <c r="A695">
        <v>6.4779999999999998</v>
      </c>
      <c r="B695">
        <v>0.98109999999999997</v>
      </c>
    </row>
    <row r="697" spans="1:2" x14ac:dyDescent="0.2">
      <c r="A697">
        <v>6.5110000000000001</v>
      </c>
      <c r="B697">
        <v>1.022</v>
      </c>
    </row>
    <row r="699" spans="1:2" x14ac:dyDescent="0.2">
      <c r="A699">
        <v>6.5439999999999996</v>
      </c>
      <c r="B699">
        <v>1.0620000000000001</v>
      </c>
    </row>
    <row r="701" spans="1:2" x14ac:dyDescent="0.2">
      <c r="A701">
        <v>6.5720000000000001</v>
      </c>
      <c r="B701">
        <v>1.1319999999999999</v>
      </c>
    </row>
    <row r="703" spans="1:2" x14ac:dyDescent="0.2">
      <c r="A703">
        <v>6.6029999999999998</v>
      </c>
      <c r="B703">
        <v>1.171</v>
      </c>
    </row>
    <row r="705" spans="1:2" x14ac:dyDescent="0.2">
      <c r="A705">
        <v>6.633</v>
      </c>
      <c r="B705">
        <v>1.216</v>
      </c>
    </row>
    <row r="707" spans="1:2" x14ac:dyDescent="0.2">
      <c r="A707">
        <v>6.6639999999999997</v>
      </c>
      <c r="B707">
        <v>1.2629999999999999</v>
      </c>
    </row>
    <row r="709" spans="1:2" x14ac:dyDescent="0.2">
      <c r="A709">
        <v>6.694</v>
      </c>
      <c r="B709">
        <v>1.3169999999999999</v>
      </c>
    </row>
    <row r="711" spans="1:2" x14ac:dyDescent="0.2">
      <c r="A711">
        <v>6.7249999999999996</v>
      </c>
      <c r="B711">
        <v>1.351</v>
      </c>
    </row>
    <row r="713" spans="1:2" x14ac:dyDescent="0.2">
      <c r="A713">
        <v>6.7549999999999999</v>
      </c>
      <c r="B713">
        <v>1.383</v>
      </c>
    </row>
    <row r="715" spans="1:2" x14ac:dyDescent="0.2">
      <c r="A715">
        <v>6.7859999999999996</v>
      </c>
      <c r="B715">
        <v>1.4279999999999999</v>
      </c>
    </row>
    <row r="717" spans="1:2" x14ac:dyDescent="0.2">
      <c r="A717">
        <v>6.8159999999999998</v>
      </c>
      <c r="B717">
        <v>1.4219999999999999</v>
      </c>
    </row>
    <row r="719" spans="1:2" x14ac:dyDescent="0.2">
      <c r="A719">
        <v>6.8470000000000004</v>
      </c>
      <c r="B719">
        <v>1.3939999999999999</v>
      </c>
    </row>
    <row r="721" spans="1:2" x14ac:dyDescent="0.2">
      <c r="A721">
        <v>6.8719999999999999</v>
      </c>
      <c r="B721">
        <v>1.3779999999999999</v>
      </c>
    </row>
    <row r="723" spans="1:2" x14ac:dyDescent="0.2">
      <c r="A723">
        <v>6.8780000000000001</v>
      </c>
      <c r="B723">
        <v>1.2789999999999999</v>
      </c>
    </row>
    <row r="725" spans="1:2" x14ac:dyDescent="0.2">
      <c r="A725">
        <v>6.9080000000000004</v>
      </c>
      <c r="B725">
        <v>1.2589999999999999</v>
      </c>
    </row>
    <row r="727" spans="1:2" x14ac:dyDescent="0.2">
      <c r="A727">
        <v>6.9130000000000003</v>
      </c>
      <c r="B727">
        <v>1.159</v>
      </c>
    </row>
    <row r="729" spans="1:2" x14ac:dyDescent="0.2">
      <c r="A729">
        <v>6.9189999999999996</v>
      </c>
      <c r="B729">
        <v>1.071</v>
      </c>
    </row>
    <row r="731" spans="1:2" x14ac:dyDescent="0.2">
      <c r="A731">
        <v>6.9489999999999998</v>
      </c>
      <c r="B731">
        <v>1.046</v>
      </c>
    </row>
    <row r="733" spans="1:2" x14ac:dyDescent="0.2">
      <c r="A733">
        <v>6.9539999999999997</v>
      </c>
      <c r="B733">
        <v>0.96260000000000001</v>
      </c>
    </row>
    <row r="735" spans="1:2" x14ac:dyDescent="0.2">
      <c r="A735">
        <v>6.9539999999999997</v>
      </c>
      <c r="B735">
        <v>0.90459999999999996</v>
      </c>
    </row>
    <row r="737" spans="1:2" x14ac:dyDescent="0.2">
      <c r="A737">
        <v>6.96</v>
      </c>
      <c r="B737">
        <v>0.83289999999999997</v>
      </c>
    </row>
    <row r="739" spans="1:2" x14ac:dyDescent="0.2">
      <c r="A739">
        <v>6.9850000000000003</v>
      </c>
      <c r="B739">
        <v>0.82469999999999999</v>
      </c>
    </row>
    <row r="741" spans="1:2" x14ac:dyDescent="0.2">
      <c r="A741">
        <v>6.99</v>
      </c>
      <c r="B741">
        <v>0.76080000000000003</v>
      </c>
    </row>
    <row r="743" spans="1:2" x14ac:dyDescent="0.2">
      <c r="A743">
        <v>6.9909999999999997</v>
      </c>
      <c r="B743">
        <v>0.70620000000000005</v>
      </c>
    </row>
    <row r="745" spans="1:2" x14ac:dyDescent="0.2">
      <c r="A745">
        <v>6.9909999999999997</v>
      </c>
      <c r="B745">
        <v>0.65549999999999997</v>
      </c>
    </row>
    <row r="747" spans="1:2" x14ac:dyDescent="0.2">
      <c r="A747">
        <v>7.0010000000000003</v>
      </c>
      <c r="B747">
        <v>0.61360000000000003</v>
      </c>
    </row>
    <row r="749" spans="1:2" x14ac:dyDescent="0.2">
      <c r="A749">
        <v>7.0259999999999998</v>
      </c>
      <c r="B749">
        <v>0.6089</v>
      </c>
    </row>
    <row r="751" spans="1:2" x14ac:dyDescent="0.2">
      <c r="A751">
        <v>7.032</v>
      </c>
      <c r="B751">
        <v>0.56520000000000004</v>
      </c>
    </row>
    <row r="753" spans="1:2" x14ac:dyDescent="0.2">
      <c r="A753">
        <v>7.032</v>
      </c>
      <c r="B753">
        <v>0.52470000000000006</v>
      </c>
    </row>
    <row r="755" spans="1:2" x14ac:dyDescent="0.2">
      <c r="A755">
        <v>7.032</v>
      </c>
      <c r="B755">
        <v>0.48699999999999999</v>
      </c>
    </row>
    <row r="757" spans="1:2" x14ac:dyDescent="0.2">
      <c r="A757">
        <v>7.0419999999999998</v>
      </c>
      <c r="B757">
        <v>0.44840000000000002</v>
      </c>
    </row>
    <row r="759" spans="1:2" x14ac:dyDescent="0.2">
      <c r="A759">
        <v>7.0679999999999996</v>
      </c>
      <c r="B759">
        <v>0.44400000000000001</v>
      </c>
    </row>
    <row r="761" spans="1:2" x14ac:dyDescent="0.2">
      <c r="A761">
        <v>7.0730000000000004</v>
      </c>
      <c r="B761">
        <v>0.40960000000000002</v>
      </c>
    </row>
    <row r="763" spans="1:2" x14ac:dyDescent="0.2">
      <c r="A763">
        <v>7.0730000000000004</v>
      </c>
      <c r="B763">
        <v>0.38019999999999998</v>
      </c>
    </row>
    <row r="765" spans="1:2" x14ac:dyDescent="0.2">
      <c r="A765">
        <v>7.0730000000000004</v>
      </c>
      <c r="B765">
        <v>0.35289999999999999</v>
      </c>
    </row>
    <row r="767" spans="1:2" x14ac:dyDescent="0.2">
      <c r="A767">
        <v>7.0830000000000002</v>
      </c>
      <c r="B767">
        <v>0.32500000000000001</v>
      </c>
    </row>
    <row r="769" spans="1:2" x14ac:dyDescent="0.2">
      <c r="A769">
        <v>7.109</v>
      </c>
      <c r="B769">
        <v>0.32179999999999997</v>
      </c>
    </row>
    <row r="771" spans="1:2" x14ac:dyDescent="0.2">
      <c r="A771">
        <v>7.1139999999999999</v>
      </c>
      <c r="B771">
        <v>0.2969</v>
      </c>
    </row>
    <row r="773" spans="1:2" x14ac:dyDescent="0.2">
      <c r="A773">
        <v>7.1139999999999999</v>
      </c>
      <c r="B773">
        <v>0.27550000000000002</v>
      </c>
    </row>
    <row r="775" spans="1:2" x14ac:dyDescent="0.2">
      <c r="A775">
        <v>7.125</v>
      </c>
      <c r="B775">
        <v>0.25159999999999999</v>
      </c>
    </row>
    <row r="777" spans="1:2" x14ac:dyDescent="0.2">
      <c r="A777">
        <v>7.15</v>
      </c>
      <c r="B777">
        <v>0.24660000000000001</v>
      </c>
    </row>
    <row r="779" spans="1:2" x14ac:dyDescent="0.2">
      <c r="A779">
        <v>7.15</v>
      </c>
      <c r="B779">
        <v>0.21640000000000001</v>
      </c>
    </row>
    <row r="781" spans="1:2" x14ac:dyDescent="0.2">
      <c r="A781">
        <v>7.1760000000000002</v>
      </c>
      <c r="B781">
        <v>0.20730000000000001</v>
      </c>
    </row>
    <row r="783" spans="1:2" x14ac:dyDescent="0.2">
      <c r="A783">
        <v>7.1959999999999997</v>
      </c>
      <c r="B783">
        <v>0.2049</v>
      </c>
    </row>
    <row r="785" spans="1:2" x14ac:dyDescent="0.2">
      <c r="A785">
        <v>7.2069999999999999</v>
      </c>
      <c r="B785">
        <v>0.18709999999999999</v>
      </c>
    </row>
    <row r="787" spans="1:2" x14ac:dyDescent="0.2">
      <c r="A787">
        <v>7.2320000000000002</v>
      </c>
      <c r="B787">
        <v>0.1822</v>
      </c>
    </row>
    <row r="789" spans="1:2" x14ac:dyDescent="0.2">
      <c r="A789">
        <v>7.2469999999999999</v>
      </c>
      <c r="B789">
        <v>0.17230000000000001</v>
      </c>
    </row>
    <row r="791" spans="1:2" x14ac:dyDescent="0.2">
      <c r="A791">
        <v>7.2779999999999996</v>
      </c>
      <c r="B791">
        <v>0.1668</v>
      </c>
    </row>
    <row r="793" spans="1:2" x14ac:dyDescent="0.2">
      <c r="A793">
        <v>7.3090000000000002</v>
      </c>
      <c r="B793">
        <v>0.1628</v>
      </c>
    </row>
    <row r="795" spans="1:2" x14ac:dyDescent="0.2">
      <c r="A795">
        <v>7.319</v>
      </c>
      <c r="B795">
        <v>0.15179999999999999</v>
      </c>
    </row>
    <row r="797" spans="1:2" x14ac:dyDescent="0.2">
      <c r="A797">
        <v>7.35</v>
      </c>
      <c r="B797">
        <v>0.15</v>
      </c>
    </row>
    <row r="799" spans="1:2" x14ac:dyDescent="0.2">
      <c r="A799">
        <v>7.3550000000000004</v>
      </c>
      <c r="B799">
        <v>0.1381</v>
      </c>
    </row>
    <row r="801" spans="1:2" x14ac:dyDescent="0.2">
      <c r="A801">
        <v>7.36</v>
      </c>
      <c r="B801">
        <v>0.12770000000000001</v>
      </c>
    </row>
    <row r="803" spans="1:2" x14ac:dyDescent="0.2">
      <c r="A803">
        <v>7.391</v>
      </c>
      <c r="B803">
        <v>0.12570000000000001</v>
      </c>
    </row>
    <row r="805" spans="1:2" x14ac:dyDescent="0.2">
      <c r="A805">
        <v>7.391</v>
      </c>
      <c r="B805">
        <v>0.10780000000000001</v>
      </c>
    </row>
    <row r="807" spans="1:2" x14ac:dyDescent="0.2">
      <c r="A807">
        <v>7.391</v>
      </c>
      <c r="B807">
        <v>9.4049999999999995E-2</v>
      </c>
    </row>
    <row r="809" spans="1:2" x14ac:dyDescent="0.2">
      <c r="A809">
        <v>7.3959999999999999</v>
      </c>
      <c r="B809">
        <v>0.1162</v>
      </c>
    </row>
    <row r="811" spans="1:2" x14ac:dyDescent="0.2">
      <c r="A811">
        <v>7.4009999999999998</v>
      </c>
      <c r="B811">
        <v>9.6839999999999996E-2</v>
      </c>
    </row>
    <row r="813" spans="1:2" x14ac:dyDescent="0.2">
      <c r="A813">
        <v>7.4269999999999996</v>
      </c>
      <c r="B813">
        <v>9.4119999999999995E-2</v>
      </c>
    </row>
    <row r="815" spans="1:2" x14ac:dyDescent="0.2">
      <c r="A815">
        <v>7.4320000000000004</v>
      </c>
      <c r="B815">
        <v>8.6290000000000006E-2</v>
      </c>
    </row>
    <row r="817" spans="1:2" x14ac:dyDescent="0.2">
      <c r="A817">
        <v>7.4320000000000004</v>
      </c>
      <c r="B817">
        <v>8.0100000000000005E-2</v>
      </c>
    </row>
    <row r="819" spans="1:2" x14ac:dyDescent="0.2">
      <c r="A819">
        <v>7.4320000000000004</v>
      </c>
      <c r="B819">
        <v>7.4349999999999999E-2</v>
      </c>
    </row>
    <row r="821" spans="1:2" x14ac:dyDescent="0.2">
      <c r="A821">
        <v>7.4320000000000004</v>
      </c>
      <c r="B821">
        <v>6.9010000000000002E-2</v>
      </c>
    </row>
    <row r="823" spans="1:2" x14ac:dyDescent="0.2">
      <c r="A823">
        <v>7.44</v>
      </c>
      <c r="B823">
        <v>6.1920000000000003E-2</v>
      </c>
    </row>
    <row r="825" spans="1:2" x14ac:dyDescent="0.2">
      <c r="A825">
        <v>7.468</v>
      </c>
      <c r="B825">
        <v>6.0240000000000002E-2</v>
      </c>
    </row>
    <row r="827" spans="1:2" x14ac:dyDescent="0.2">
      <c r="A827">
        <v>7.4729999999999999</v>
      </c>
      <c r="B827">
        <v>5.5230000000000001E-2</v>
      </c>
    </row>
    <row r="829" spans="1:2" x14ac:dyDescent="0.2">
      <c r="A829">
        <v>7.4740000000000002</v>
      </c>
      <c r="B829">
        <v>5.1270000000000003E-2</v>
      </c>
    </row>
    <row r="831" spans="1:2" x14ac:dyDescent="0.2">
      <c r="A831">
        <v>7.4740000000000002</v>
      </c>
      <c r="B831">
        <v>4.759E-2</v>
      </c>
    </row>
    <row r="833" spans="1:2" x14ac:dyDescent="0.2">
      <c r="A833">
        <v>7.4740000000000002</v>
      </c>
      <c r="B833">
        <v>4.4170000000000001E-2</v>
      </c>
    </row>
    <row r="835" spans="1:2" x14ac:dyDescent="0.2">
      <c r="A835">
        <v>7.4740000000000002</v>
      </c>
      <c r="B835">
        <v>4.1000000000000002E-2</v>
      </c>
    </row>
    <row r="837" spans="1:2" x14ac:dyDescent="0.2">
      <c r="A837">
        <v>7.4740000000000002</v>
      </c>
      <c r="B837">
        <v>3.8059999999999997E-2</v>
      </c>
    </row>
    <row r="839" spans="1:2" x14ac:dyDescent="0.2">
      <c r="A839">
        <v>7.484</v>
      </c>
      <c r="B839">
        <v>3.5630000000000002E-2</v>
      </c>
    </row>
    <row r="841" spans="1:2" x14ac:dyDescent="0.2">
      <c r="A841">
        <v>7.51</v>
      </c>
      <c r="B841">
        <v>3.5349999999999999E-2</v>
      </c>
    </row>
    <row r="843" spans="1:2" x14ac:dyDescent="0.2">
      <c r="A843">
        <v>7.5149999999999997</v>
      </c>
      <c r="B843">
        <v>3.2820000000000002E-2</v>
      </c>
    </row>
    <row r="845" spans="1:2" x14ac:dyDescent="0.2">
      <c r="A845">
        <v>7.5149999999999997</v>
      </c>
      <c r="B845">
        <v>3.0460000000000001E-2</v>
      </c>
    </row>
    <row r="847" spans="1:2" x14ac:dyDescent="0.2">
      <c r="A847">
        <v>7.5149999999999997</v>
      </c>
      <c r="B847">
        <v>2.828E-2</v>
      </c>
    </row>
    <row r="849" spans="1:2" x14ac:dyDescent="0.2">
      <c r="A849">
        <v>7.5149999999999997</v>
      </c>
      <c r="B849">
        <v>2.6249999999999999E-2</v>
      </c>
    </row>
    <row r="851" spans="1:2" x14ac:dyDescent="0.2">
      <c r="A851">
        <v>7.5149999999999997</v>
      </c>
      <c r="B851">
        <v>2.436E-2</v>
      </c>
    </row>
    <row r="853" spans="1:2" x14ac:dyDescent="0.2">
      <c r="A853">
        <v>7.516</v>
      </c>
      <c r="B853">
        <v>2.2610000000000002E-2</v>
      </c>
    </row>
    <row r="855" spans="1:2" x14ac:dyDescent="0.2">
      <c r="A855">
        <v>7.516</v>
      </c>
      <c r="B855">
        <v>2.0990000000000002E-2</v>
      </c>
    </row>
    <row r="857" spans="1:2" x14ac:dyDescent="0.2">
      <c r="A857">
        <v>7.5259999999999998</v>
      </c>
      <c r="B857">
        <v>1.9650000000000001E-2</v>
      </c>
    </row>
    <row r="859" spans="1:2" x14ac:dyDescent="0.2">
      <c r="A859">
        <v>7.5519999999999996</v>
      </c>
      <c r="B859">
        <v>1.9259999999999999E-2</v>
      </c>
    </row>
    <row r="861" spans="1:2" x14ac:dyDescent="0.2">
      <c r="A861">
        <v>7.5570000000000004</v>
      </c>
      <c r="B861">
        <v>1.7649999999999999E-2</v>
      </c>
    </row>
    <row r="863" spans="1:2" x14ac:dyDescent="0.2">
      <c r="A863">
        <v>7.5570000000000004</v>
      </c>
      <c r="B863">
        <v>1.6389999999999998E-2</v>
      </c>
    </row>
    <row r="865" spans="1:2" x14ac:dyDescent="0.2">
      <c r="A865">
        <v>7.5570000000000004</v>
      </c>
      <c r="B865">
        <v>1.521E-2</v>
      </c>
    </row>
    <row r="867" spans="1:2" x14ac:dyDescent="0.2">
      <c r="A867">
        <v>7.5570000000000004</v>
      </c>
      <c r="B867">
        <v>1.4120000000000001E-2</v>
      </c>
    </row>
    <row r="869" spans="1:2" x14ac:dyDescent="0.2">
      <c r="A869">
        <v>7.5570000000000004</v>
      </c>
      <c r="B869">
        <v>1.311E-2</v>
      </c>
    </row>
    <row r="871" spans="1:2" x14ac:dyDescent="0.2">
      <c r="A871">
        <v>7.5570000000000004</v>
      </c>
      <c r="B871">
        <v>1.217E-2</v>
      </c>
    </row>
    <row r="873" spans="1:2" x14ac:dyDescent="0.2">
      <c r="A873">
        <v>7.593</v>
      </c>
      <c r="B873">
        <v>1.082E-2</v>
      </c>
    </row>
    <row r="875" spans="1:2" x14ac:dyDescent="0.2">
      <c r="A875">
        <v>7.5979999999999999</v>
      </c>
      <c r="B875">
        <v>9.9810000000000003E-3</v>
      </c>
    </row>
    <row r="877" spans="1:2" x14ac:dyDescent="0.2">
      <c r="A877">
        <v>7.5990000000000002</v>
      </c>
      <c r="B877">
        <v>9.2650000000000007E-3</v>
      </c>
    </row>
    <row r="879" spans="1:2" x14ac:dyDescent="0.2">
      <c r="A879">
        <v>7.5990000000000002</v>
      </c>
      <c r="B879">
        <v>8.6E-3</v>
      </c>
    </row>
    <row r="881" spans="1:2" x14ac:dyDescent="0.2">
      <c r="A881">
        <v>7.5990000000000002</v>
      </c>
      <c r="B881">
        <v>7.9830000000000005E-3</v>
      </c>
    </row>
    <row r="883" spans="1:2" x14ac:dyDescent="0.2">
      <c r="A883">
        <v>7.5990000000000002</v>
      </c>
      <c r="B883">
        <v>7.4099999999999999E-3</v>
      </c>
    </row>
    <row r="885" spans="1:2" x14ac:dyDescent="0.2">
      <c r="A885">
        <v>7.609</v>
      </c>
      <c r="B885">
        <v>6.7660000000000003E-3</v>
      </c>
    </row>
    <row r="887" spans="1:2" x14ac:dyDescent="0.2">
      <c r="A887">
        <v>7.6349999999999998</v>
      </c>
      <c r="B887">
        <v>6.6309999999999997E-3</v>
      </c>
    </row>
    <row r="889" spans="1:2" x14ac:dyDescent="0.2">
      <c r="A889">
        <v>7.64</v>
      </c>
      <c r="B889">
        <v>6.0800000000000003E-3</v>
      </c>
    </row>
    <row r="891" spans="1:2" x14ac:dyDescent="0.2">
      <c r="A891">
        <v>7.64</v>
      </c>
      <c r="B891">
        <v>5.6429999999999996E-3</v>
      </c>
    </row>
    <row r="893" spans="1:2" x14ac:dyDescent="0.2">
      <c r="A893">
        <v>7.64</v>
      </c>
      <c r="B893">
        <v>5.2379999999999996E-3</v>
      </c>
    </row>
    <row r="895" spans="1:2" x14ac:dyDescent="0.2">
      <c r="A895">
        <v>7.6479999999999997</v>
      </c>
      <c r="B895">
        <v>4.6849999999999999E-3</v>
      </c>
    </row>
    <row r="897" spans="1:2" x14ac:dyDescent="0.2">
      <c r="A897">
        <v>7.6760000000000002</v>
      </c>
      <c r="B897">
        <v>4.5440000000000003E-3</v>
      </c>
    </row>
    <row r="899" spans="1:2" x14ac:dyDescent="0.2">
      <c r="A899">
        <v>7.681</v>
      </c>
      <c r="B899">
        <v>4.1920000000000004E-3</v>
      </c>
    </row>
    <row r="901" spans="1:2" x14ac:dyDescent="0.2">
      <c r="A901">
        <v>7.6820000000000004</v>
      </c>
      <c r="B901">
        <v>3.6570000000000001E-3</v>
      </c>
    </row>
    <row r="903" spans="1:2" x14ac:dyDescent="0.2">
      <c r="A903">
        <v>7.6920000000000002</v>
      </c>
      <c r="B903">
        <v>3.7650000000000001E-3</v>
      </c>
    </row>
    <row r="905" spans="1:2" x14ac:dyDescent="0.2">
      <c r="A905">
        <v>7.7169999999999996</v>
      </c>
      <c r="B905">
        <v>3.6150000000000002E-3</v>
      </c>
    </row>
    <row r="907" spans="1:2" x14ac:dyDescent="0.2">
      <c r="A907">
        <v>7.7220000000000004</v>
      </c>
      <c r="B907">
        <v>3.3549999999999999E-3</v>
      </c>
    </row>
    <row r="909" spans="1:2" x14ac:dyDescent="0.2">
      <c r="A909">
        <v>7.7530000000000001</v>
      </c>
      <c r="B909">
        <v>3.3159999999999999E-3</v>
      </c>
    </row>
    <row r="911" spans="1:2" x14ac:dyDescent="0.2">
      <c r="A911">
        <v>7.7839999999999998</v>
      </c>
      <c r="B911">
        <v>3.3180000000000002E-3</v>
      </c>
    </row>
    <row r="913" spans="1:2" x14ac:dyDescent="0.2">
      <c r="A913">
        <v>7.8040000000000003</v>
      </c>
      <c r="B913">
        <v>3.2780000000000001E-3</v>
      </c>
    </row>
    <row r="915" spans="1:2" x14ac:dyDescent="0.2">
      <c r="A915">
        <v>7.8040000000000003</v>
      </c>
      <c r="B915">
        <v>3.0430000000000001E-3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rain2</vt:lpstr>
      <vt:lpstr>beta strength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Artemis Spyrou</dc:creator>
  <cp:lastModifiedBy>Microsoft Office User</cp:lastModifiedBy>
  <dcterms:created xsi:type="dcterms:W3CDTF">2020-06-15T01:42:01Z</dcterms:created>
  <dcterms:modified xsi:type="dcterms:W3CDTF">2020-09-02T02:16:47Z</dcterms:modified>
</cp:coreProperties>
</file>